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hidePivotFieldList="1" defaultThemeVersion="166925"/>
  <mc:AlternateContent xmlns:mc="http://schemas.openxmlformats.org/markup-compatibility/2006">
    <mc:Choice Requires="x15">
      <x15ac:absPath xmlns:x15ac="http://schemas.microsoft.com/office/spreadsheetml/2010/11/ac" url="C:\Users\91740\OneDrive\Desktop\"/>
    </mc:Choice>
  </mc:AlternateContent>
  <xr:revisionPtr revIDLastSave="0" documentId="13_ncr:1_{7DA13F43-4F0F-481B-82FA-14597BFFD291}" xr6:coauthVersionLast="47" xr6:coauthVersionMax="47" xr10:uidLastSave="{00000000-0000-0000-0000-000000000000}"/>
  <bookViews>
    <workbookView xWindow="-96" yWindow="0" windowWidth="16440" windowHeight="12336" activeTab="1" xr2:uid="{00000000-000D-0000-FFFF-FFFF00000000}"/>
  </bookViews>
  <sheets>
    <sheet name="Sheet2" sheetId="2" r:id="rId1"/>
    <sheet name="Dashboard" sheetId="3" r:id="rId2"/>
    <sheet name="Sheet1" sheetId="1" r:id="rId3"/>
  </sheets>
  <definedNames>
    <definedName name="_xlnm._FilterDatabase" localSheetId="2" hidden="1">Sheet1!$A$1:$M$303</definedName>
    <definedName name="Slicer_company_location">#N/A</definedName>
    <definedName name="Slicer_employment_type">#N/A</definedName>
    <definedName name="Slicer_experience_level">#N/A</definedName>
    <definedName name="Slicer_remote_label">#N/A</definedName>
    <definedName name="Slicer_work_year">#N/A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O195" i="1" l="1"/>
  <c r="O196" i="1"/>
  <c r="O70" i="1"/>
  <c r="O197" i="1"/>
  <c r="O2" i="1"/>
  <c r="O198" i="1"/>
  <c r="O71" i="1"/>
  <c r="O72" i="1"/>
  <c r="O199" i="1"/>
  <c r="O3" i="1"/>
  <c r="O73" i="1"/>
  <c r="O4" i="1"/>
  <c r="O74" i="1"/>
  <c r="O75" i="1"/>
  <c r="O76" i="1"/>
  <c r="O5" i="1"/>
  <c r="O200" i="1"/>
  <c r="O6" i="1"/>
  <c r="O77" i="1"/>
  <c r="O78" i="1"/>
  <c r="O79" i="1"/>
  <c r="O201" i="1"/>
  <c r="O80" i="1"/>
  <c r="O81" i="1"/>
  <c r="O289" i="1"/>
  <c r="O7" i="1"/>
  <c r="O202" i="1"/>
  <c r="O8" i="1"/>
  <c r="O203" i="1"/>
  <c r="O82" i="1"/>
  <c r="O9" i="1"/>
  <c r="O204" i="1"/>
  <c r="O83" i="1"/>
  <c r="O84" i="1"/>
  <c r="O85" i="1"/>
  <c r="O86" i="1"/>
  <c r="O10" i="1"/>
  <c r="O11" i="1"/>
  <c r="O12" i="1"/>
  <c r="O87" i="1"/>
  <c r="O290" i="1"/>
  <c r="O88" i="1"/>
  <c r="O89" i="1"/>
  <c r="O90" i="1"/>
  <c r="O13" i="1"/>
  <c r="O91" i="1"/>
  <c r="O205" i="1"/>
  <c r="O92" i="1"/>
  <c r="O93" i="1"/>
  <c r="O14" i="1"/>
  <c r="O15" i="1"/>
  <c r="O16" i="1"/>
  <c r="O17" i="1"/>
  <c r="O206" i="1"/>
  <c r="O207" i="1"/>
  <c r="O94" i="1"/>
  <c r="O95" i="1"/>
  <c r="O208" i="1"/>
  <c r="O96" i="1"/>
  <c r="O97" i="1"/>
  <c r="O98" i="1"/>
  <c r="O18" i="1"/>
  <c r="O209" i="1"/>
  <c r="O210" i="1"/>
  <c r="O19" i="1"/>
  <c r="O20" i="1"/>
  <c r="O211" i="1"/>
  <c r="O21" i="1"/>
  <c r="O212" i="1"/>
  <c r="O99" i="1"/>
  <c r="O100" i="1"/>
  <c r="O22" i="1"/>
  <c r="O291" i="1"/>
  <c r="O292" i="1"/>
  <c r="O213" i="1"/>
  <c r="O101" i="1"/>
  <c r="O102" i="1"/>
  <c r="O103" i="1"/>
  <c r="O23" i="1"/>
  <c r="O214" i="1"/>
  <c r="O104" i="1"/>
  <c r="O105" i="1"/>
  <c r="O106" i="1"/>
  <c r="O293" i="1"/>
  <c r="O107" i="1"/>
  <c r="O24" i="1"/>
  <c r="O108" i="1"/>
  <c r="O215" i="1"/>
  <c r="O216" i="1"/>
  <c r="O217" i="1"/>
  <c r="O25" i="1"/>
  <c r="O109" i="1"/>
  <c r="O218" i="1"/>
  <c r="O26" i="1"/>
  <c r="O110" i="1"/>
  <c r="O27" i="1"/>
  <c r="O111" i="1"/>
  <c r="O28" i="1"/>
  <c r="O112" i="1"/>
  <c r="O113" i="1"/>
  <c r="O219" i="1"/>
  <c r="O114" i="1"/>
  <c r="O115" i="1"/>
  <c r="O116" i="1"/>
  <c r="O117" i="1"/>
  <c r="O118" i="1"/>
  <c r="O220" i="1"/>
  <c r="O221" i="1"/>
  <c r="O29" i="1"/>
  <c r="O222" i="1"/>
  <c r="O223" i="1"/>
  <c r="O224" i="1"/>
  <c r="O30" i="1"/>
  <c r="O119" i="1"/>
  <c r="O31" i="1"/>
  <c r="O120" i="1"/>
  <c r="O121" i="1"/>
  <c r="O32" i="1"/>
  <c r="O122" i="1"/>
  <c r="O123" i="1"/>
  <c r="O225" i="1"/>
  <c r="O33" i="1"/>
  <c r="O34" i="1"/>
  <c r="O35" i="1"/>
  <c r="O124" i="1"/>
  <c r="O226" i="1"/>
  <c r="O125" i="1"/>
  <c r="O36" i="1"/>
  <c r="O227" i="1"/>
  <c r="O37" i="1"/>
  <c r="O38" i="1"/>
  <c r="O126" i="1"/>
  <c r="O228" i="1"/>
  <c r="O39" i="1"/>
  <c r="O127" i="1"/>
  <c r="O128" i="1"/>
  <c r="O129" i="1"/>
  <c r="O229" i="1"/>
  <c r="O40" i="1"/>
  <c r="O130" i="1"/>
  <c r="O230" i="1"/>
  <c r="O231" i="1"/>
  <c r="O131" i="1"/>
  <c r="O132" i="1"/>
  <c r="O232" i="1"/>
  <c r="O133" i="1"/>
  <c r="O134" i="1"/>
  <c r="O233" i="1"/>
  <c r="O234" i="1"/>
  <c r="O235" i="1"/>
  <c r="O135" i="1"/>
  <c r="O136" i="1"/>
  <c r="O41" i="1"/>
  <c r="O236" i="1"/>
  <c r="O237" i="1"/>
  <c r="O137" i="1"/>
  <c r="O138" i="1"/>
  <c r="O238" i="1"/>
  <c r="O42" i="1"/>
  <c r="O294" i="1"/>
  <c r="O295" i="1"/>
  <c r="O139" i="1"/>
  <c r="O43" i="1"/>
  <c r="O296" i="1"/>
  <c r="O239" i="1"/>
  <c r="O44" i="1"/>
  <c r="O297" i="1"/>
  <c r="O45" i="1"/>
  <c r="O140" i="1"/>
  <c r="O141" i="1"/>
  <c r="O142" i="1"/>
  <c r="O46" i="1"/>
  <c r="O240" i="1"/>
  <c r="O241" i="1"/>
  <c r="O242" i="1"/>
  <c r="O143" i="1"/>
  <c r="O144" i="1"/>
  <c r="O47" i="1"/>
  <c r="O145" i="1"/>
  <c r="O146" i="1"/>
  <c r="O147" i="1"/>
  <c r="O148" i="1"/>
  <c r="O243" i="1"/>
  <c r="O149" i="1"/>
  <c r="O150" i="1"/>
  <c r="O244" i="1"/>
  <c r="O298" i="1"/>
  <c r="O245" i="1"/>
  <c r="O151" i="1"/>
  <c r="O246" i="1"/>
  <c r="O48" i="1"/>
  <c r="O152" i="1"/>
  <c r="O247" i="1"/>
  <c r="O248" i="1"/>
  <c r="O153" i="1"/>
  <c r="O49" i="1"/>
  <c r="O249" i="1"/>
  <c r="O250" i="1"/>
  <c r="O50" i="1"/>
  <c r="O154" i="1"/>
  <c r="O251" i="1"/>
  <c r="O155" i="1"/>
  <c r="O252" i="1"/>
  <c r="O156" i="1"/>
  <c r="O157" i="1"/>
  <c r="O253" i="1"/>
  <c r="O254" i="1"/>
  <c r="O158" i="1"/>
  <c r="O255" i="1"/>
  <c r="O159" i="1"/>
  <c r="O160" i="1"/>
  <c r="O161" i="1"/>
  <c r="O51" i="1"/>
  <c r="O52" i="1"/>
  <c r="O256" i="1"/>
  <c r="O53" i="1"/>
  <c r="O162" i="1"/>
  <c r="O163" i="1"/>
  <c r="O257" i="1"/>
  <c r="O164" i="1"/>
  <c r="O165" i="1"/>
  <c r="O166" i="1"/>
  <c r="O167" i="1"/>
  <c r="O258" i="1"/>
  <c r="O299" i="1"/>
  <c r="O259" i="1"/>
  <c r="O168" i="1"/>
  <c r="O260" i="1"/>
  <c r="O261" i="1"/>
  <c r="O54" i="1"/>
  <c r="O262" i="1"/>
  <c r="O263" i="1"/>
  <c r="O264" i="1"/>
  <c r="O169" i="1"/>
  <c r="O170" i="1"/>
  <c r="O171" i="1"/>
  <c r="O172" i="1"/>
  <c r="O55" i="1"/>
  <c r="O56" i="1"/>
  <c r="O265" i="1"/>
  <c r="O173" i="1"/>
  <c r="O174" i="1"/>
  <c r="O266" i="1"/>
  <c r="O57" i="1"/>
  <c r="O175" i="1"/>
  <c r="O58" i="1"/>
  <c r="O176" i="1"/>
  <c r="O267" i="1"/>
  <c r="O268" i="1"/>
  <c r="O177" i="1"/>
  <c r="O59" i="1"/>
  <c r="O300" i="1"/>
  <c r="O60" i="1"/>
  <c r="O178" i="1"/>
  <c r="O269" i="1"/>
  <c r="O179" i="1"/>
  <c r="O270" i="1"/>
  <c r="O271" i="1"/>
  <c r="O301" i="1"/>
  <c r="O180" i="1"/>
  <c r="O272" i="1"/>
  <c r="O181" i="1"/>
  <c r="O273" i="1"/>
  <c r="O182" i="1"/>
  <c r="O274" i="1"/>
  <c r="O183" i="1"/>
  <c r="O184" i="1"/>
  <c r="O185" i="1"/>
  <c r="O61" i="1"/>
  <c r="O62" i="1"/>
  <c r="O275" i="1"/>
  <c r="O63" i="1"/>
  <c r="O64" i="1"/>
  <c r="O276" i="1"/>
  <c r="O65" i="1"/>
  <c r="O66" i="1"/>
  <c r="O277" i="1"/>
  <c r="O278" i="1"/>
  <c r="O67" i="1"/>
  <c r="O186" i="1"/>
  <c r="O68" i="1"/>
  <c r="O187" i="1"/>
  <c r="O279" i="1"/>
  <c r="O188" i="1"/>
  <c r="O280" i="1"/>
  <c r="O281" i="1"/>
  <c r="O189" i="1"/>
  <c r="O190" i="1"/>
  <c r="O282" i="1"/>
  <c r="O283" i="1"/>
  <c r="O284" i="1"/>
  <c r="O191" i="1"/>
  <c r="O192" i="1"/>
  <c r="O193" i="1"/>
  <c r="O194" i="1"/>
  <c r="O285" i="1"/>
  <c r="O286" i="1"/>
  <c r="O287" i="1"/>
  <c r="O288" i="1"/>
  <c r="O69" i="1"/>
  <c r="I302" i="1"/>
  <c r="I303" i="1"/>
  <c r="N195" i="1"/>
  <c r="N196" i="1"/>
  <c r="N70" i="1"/>
  <c r="N197" i="1"/>
  <c r="N2" i="1"/>
  <c r="N198" i="1"/>
  <c r="N71" i="1"/>
  <c r="N72" i="1"/>
  <c r="N199" i="1"/>
  <c r="N3" i="1"/>
  <c r="N73" i="1"/>
  <c r="N4" i="1"/>
  <c r="N74" i="1"/>
  <c r="N75" i="1"/>
  <c r="N76" i="1"/>
  <c r="N5" i="1"/>
  <c r="N200" i="1"/>
  <c r="N6" i="1"/>
  <c r="N77" i="1"/>
  <c r="N78" i="1"/>
  <c r="N79" i="1"/>
  <c r="N201" i="1"/>
  <c r="N80" i="1"/>
  <c r="N81" i="1"/>
  <c r="N289" i="1"/>
  <c r="N7" i="1"/>
  <c r="N202" i="1"/>
  <c r="N8" i="1"/>
  <c r="N203" i="1"/>
  <c r="N82" i="1"/>
  <c r="N9" i="1"/>
  <c r="N204" i="1"/>
  <c r="N83" i="1"/>
  <c r="N84" i="1"/>
  <c r="N85" i="1"/>
  <c r="N86" i="1"/>
  <c r="N10" i="1"/>
  <c r="N11" i="1"/>
  <c r="N12" i="1"/>
  <c r="N87" i="1"/>
  <c r="N290" i="1"/>
  <c r="N88" i="1"/>
  <c r="N89" i="1"/>
  <c r="N90" i="1"/>
  <c r="N13" i="1"/>
  <c r="N91" i="1"/>
  <c r="N205" i="1"/>
  <c r="N92" i="1"/>
  <c r="N93" i="1"/>
  <c r="N14" i="1"/>
  <c r="N15" i="1"/>
  <c r="N16" i="1"/>
  <c r="N17" i="1"/>
  <c r="N206" i="1"/>
  <c r="N207" i="1"/>
  <c r="N94" i="1"/>
  <c r="N95" i="1"/>
  <c r="N208" i="1"/>
  <c r="N96" i="1"/>
  <c r="N97" i="1"/>
  <c r="N98" i="1"/>
  <c r="N18" i="1"/>
  <c r="N209" i="1"/>
  <c r="N210" i="1"/>
  <c r="N19" i="1"/>
  <c r="N20" i="1"/>
  <c r="N211" i="1"/>
  <c r="N21" i="1"/>
  <c r="N212" i="1"/>
  <c r="N99" i="1"/>
  <c r="N100" i="1"/>
  <c r="N22" i="1"/>
  <c r="N291" i="1"/>
  <c r="N292" i="1"/>
  <c r="N213" i="1"/>
  <c r="N101" i="1"/>
  <c r="N102" i="1"/>
  <c r="N103" i="1"/>
  <c r="N23" i="1"/>
  <c r="N214" i="1"/>
  <c r="N104" i="1"/>
  <c r="N105" i="1"/>
  <c r="N106" i="1"/>
  <c r="N293" i="1"/>
  <c r="N107" i="1"/>
  <c r="N24" i="1"/>
  <c r="N108" i="1"/>
  <c r="N215" i="1"/>
  <c r="N216" i="1"/>
  <c r="N217" i="1"/>
  <c r="N25" i="1"/>
  <c r="N109" i="1"/>
  <c r="N218" i="1"/>
  <c r="N26" i="1"/>
  <c r="N110" i="1"/>
  <c r="N27" i="1"/>
  <c r="N111" i="1"/>
  <c r="N28" i="1"/>
  <c r="N112" i="1"/>
  <c r="N113" i="1"/>
  <c r="N219" i="1"/>
  <c r="N114" i="1"/>
  <c r="N115" i="1"/>
  <c r="N116" i="1"/>
  <c r="N117" i="1"/>
  <c r="N118" i="1"/>
  <c r="N220" i="1"/>
  <c r="N221" i="1"/>
  <c r="N29" i="1"/>
  <c r="N222" i="1"/>
  <c r="N223" i="1"/>
  <c r="N224" i="1"/>
  <c r="N30" i="1"/>
  <c r="N119" i="1"/>
  <c r="N31" i="1"/>
  <c r="N120" i="1"/>
  <c r="N121" i="1"/>
  <c r="N32" i="1"/>
  <c r="N122" i="1"/>
  <c r="N123" i="1"/>
  <c r="N225" i="1"/>
  <c r="N33" i="1"/>
  <c r="N34" i="1"/>
  <c r="N35" i="1"/>
  <c r="N124" i="1"/>
  <c r="N226" i="1"/>
  <c r="N125" i="1"/>
  <c r="N36" i="1"/>
  <c r="N227" i="1"/>
  <c r="N37" i="1"/>
  <c r="N38" i="1"/>
  <c r="N126" i="1"/>
  <c r="N228" i="1"/>
  <c r="N39" i="1"/>
  <c r="N127" i="1"/>
  <c r="N128" i="1"/>
  <c r="N129" i="1"/>
  <c r="N229" i="1"/>
  <c r="N40" i="1"/>
  <c r="N130" i="1"/>
  <c r="N230" i="1"/>
  <c r="N231" i="1"/>
  <c r="N131" i="1"/>
  <c r="N132" i="1"/>
  <c r="N232" i="1"/>
  <c r="N133" i="1"/>
  <c r="N134" i="1"/>
  <c r="N233" i="1"/>
  <c r="N234" i="1"/>
  <c r="N235" i="1"/>
  <c r="N135" i="1"/>
  <c r="N136" i="1"/>
  <c r="N41" i="1"/>
  <c r="N236" i="1"/>
  <c r="N237" i="1"/>
  <c r="N137" i="1"/>
  <c r="N138" i="1"/>
  <c r="N238" i="1"/>
  <c r="N42" i="1"/>
  <c r="N294" i="1"/>
  <c r="N295" i="1"/>
  <c r="N139" i="1"/>
  <c r="N43" i="1"/>
  <c r="N296" i="1"/>
  <c r="N239" i="1"/>
  <c r="N44" i="1"/>
  <c r="N297" i="1"/>
  <c r="N45" i="1"/>
  <c r="N140" i="1"/>
  <c r="N141" i="1"/>
  <c r="N142" i="1"/>
  <c r="N46" i="1"/>
  <c r="N240" i="1"/>
  <c r="N241" i="1"/>
  <c r="N242" i="1"/>
  <c r="N143" i="1"/>
  <c r="N144" i="1"/>
  <c r="N47" i="1"/>
  <c r="N145" i="1"/>
  <c r="N146" i="1"/>
  <c r="N147" i="1"/>
  <c r="N148" i="1"/>
  <c r="N243" i="1"/>
  <c r="N149" i="1"/>
  <c r="N150" i="1"/>
  <c r="N244" i="1"/>
  <c r="N298" i="1"/>
  <c r="N245" i="1"/>
  <c r="N151" i="1"/>
  <c r="N246" i="1"/>
  <c r="N48" i="1"/>
  <c r="N152" i="1"/>
  <c r="N247" i="1"/>
  <c r="N248" i="1"/>
  <c r="N153" i="1"/>
  <c r="N49" i="1"/>
  <c r="N249" i="1"/>
  <c r="N250" i="1"/>
  <c r="N50" i="1"/>
  <c r="N154" i="1"/>
  <c r="N251" i="1"/>
  <c r="N155" i="1"/>
  <c r="N252" i="1"/>
  <c r="N156" i="1"/>
  <c r="N157" i="1"/>
  <c r="N253" i="1"/>
  <c r="N254" i="1"/>
  <c r="N158" i="1"/>
  <c r="N255" i="1"/>
  <c r="N159" i="1"/>
  <c r="N160" i="1"/>
  <c r="N161" i="1"/>
  <c r="N51" i="1"/>
  <c r="N52" i="1"/>
  <c r="N256" i="1"/>
  <c r="N53" i="1"/>
  <c r="N162" i="1"/>
  <c r="N163" i="1"/>
  <c r="N257" i="1"/>
  <c r="N164" i="1"/>
  <c r="N165" i="1"/>
  <c r="N166" i="1"/>
  <c r="N167" i="1"/>
  <c r="N258" i="1"/>
  <c r="N299" i="1"/>
  <c r="N259" i="1"/>
  <c r="N168" i="1"/>
  <c r="N260" i="1"/>
  <c r="N261" i="1"/>
  <c r="N54" i="1"/>
  <c r="N262" i="1"/>
  <c r="N263" i="1"/>
  <c r="N264" i="1"/>
  <c r="N169" i="1"/>
  <c r="N170" i="1"/>
  <c r="N171" i="1"/>
  <c r="N172" i="1"/>
  <c r="N55" i="1"/>
  <c r="N56" i="1"/>
  <c r="N265" i="1"/>
  <c r="N173" i="1"/>
  <c r="N174" i="1"/>
  <c r="N266" i="1"/>
  <c r="N57" i="1"/>
  <c r="N175" i="1"/>
  <c r="N58" i="1"/>
  <c r="N176" i="1"/>
  <c r="N267" i="1"/>
  <c r="N268" i="1"/>
  <c r="N177" i="1"/>
  <c r="N59" i="1"/>
  <c r="N300" i="1"/>
  <c r="N60" i="1"/>
  <c r="N178" i="1"/>
  <c r="N269" i="1"/>
  <c r="N179" i="1"/>
  <c r="N270" i="1"/>
  <c r="N271" i="1"/>
  <c r="N301" i="1"/>
  <c r="N180" i="1"/>
  <c r="N272" i="1"/>
  <c r="N181" i="1"/>
  <c r="N273" i="1"/>
  <c r="N182" i="1"/>
  <c r="N274" i="1"/>
  <c r="N183" i="1"/>
  <c r="N184" i="1"/>
  <c r="N185" i="1"/>
  <c r="N61" i="1"/>
  <c r="N62" i="1"/>
  <c r="N275" i="1"/>
  <c r="N63" i="1"/>
  <c r="N64" i="1"/>
  <c r="N276" i="1"/>
  <c r="N65" i="1"/>
  <c r="N66" i="1"/>
  <c r="N277" i="1"/>
  <c r="N278" i="1"/>
  <c r="N67" i="1"/>
  <c r="N186" i="1"/>
  <c r="N68" i="1"/>
  <c r="N187" i="1"/>
  <c r="N279" i="1"/>
  <c r="N188" i="1"/>
  <c r="N280" i="1"/>
  <c r="N281" i="1"/>
  <c r="N189" i="1"/>
  <c r="N190" i="1"/>
  <c r="N282" i="1"/>
  <c r="N283" i="1"/>
  <c r="N284" i="1"/>
  <c r="N191" i="1"/>
  <c r="N192" i="1"/>
  <c r="N193" i="1"/>
  <c r="N194" i="1"/>
  <c r="N285" i="1"/>
  <c r="N286" i="1"/>
  <c r="N287" i="1"/>
  <c r="N288" i="1"/>
  <c r="N69" i="1"/>
  <c r="I288" i="1"/>
  <c r="I287" i="1"/>
  <c r="I286" i="1"/>
  <c r="I285" i="1"/>
  <c r="I194" i="1"/>
  <c r="I193" i="1"/>
  <c r="I192" i="1"/>
  <c r="I191" i="1"/>
  <c r="I284" i="1"/>
  <c r="I283" i="1"/>
  <c r="I282" i="1"/>
  <c r="I190" i="1"/>
  <c r="I189" i="1"/>
  <c r="I281" i="1"/>
  <c r="I280" i="1"/>
  <c r="I188" i="1"/>
  <c r="I279" i="1"/>
  <c r="I187" i="1"/>
  <c r="I68" i="1"/>
  <c r="I186" i="1"/>
  <c r="I67" i="1"/>
  <c r="I278" i="1"/>
  <c r="I277" i="1"/>
  <c r="I66" i="1"/>
  <c r="I65" i="1"/>
  <c r="I276" i="1"/>
  <c r="I64" i="1"/>
  <c r="I63" i="1"/>
  <c r="I275" i="1"/>
  <c r="I62" i="1"/>
  <c r="I61" i="1"/>
  <c r="I185" i="1"/>
  <c r="I184" i="1"/>
  <c r="I183" i="1"/>
  <c r="I274" i="1"/>
  <c r="I182" i="1"/>
  <c r="I273" i="1"/>
  <c r="I181" i="1"/>
  <c r="I272" i="1"/>
  <c r="I180" i="1"/>
  <c r="I301" i="1"/>
  <c r="I271" i="1"/>
  <c r="I270" i="1"/>
  <c r="I179" i="1"/>
  <c r="I269" i="1"/>
  <c r="I178" i="1"/>
  <c r="I60" i="1"/>
  <c r="I300" i="1"/>
  <c r="I59" i="1"/>
  <c r="I177" i="1"/>
  <c r="I268" i="1"/>
  <c r="I267" i="1"/>
  <c r="I176" i="1"/>
  <c r="I58" i="1"/>
  <c r="I175" i="1"/>
  <c r="I57" i="1"/>
  <c r="I266" i="1"/>
  <c r="I174" i="1"/>
  <c r="I173" i="1"/>
  <c r="I265" i="1"/>
  <c r="I56" i="1"/>
  <c r="I55" i="1"/>
  <c r="I172" i="1"/>
  <c r="I171" i="1"/>
  <c r="I170" i="1"/>
  <c r="I169" i="1"/>
  <c r="I264" i="1"/>
  <c r="I263" i="1"/>
  <c r="I262" i="1"/>
  <c r="I54" i="1"/>
  <c r="I261" i="1"/>
  <c r="I260" i="1"/>
  <c r="I168" i="1"/>
  <c r="I259" i="1"/>
  <c r="I299" i="1"/>
  <c r="I258" i="1"/>
  <c r="I167" i="1"/>
  <c r="I166" i="1"/>
  <c r="I165" i="1"/>
  <c r="I164" i="1"/>
  <c r="I257" i="1"/>
  <c r="I163" i="1"/>
  <c r="I162" i="1"/>
  <c r="I53" i="1"/>
  <c r="I256" i="1"/>
  <c r="I52" i="1"/>
  <c r="I51" i="1"/>
  <c r="I161" i="1"/>
  <c r="I160" i="1"/>
  <c r="I159" i="1"/>
  <c r="I255" i="1"/>
  <c r="I158" i="1"/>
  <c r="I254" i="1"/>
  <c r="I253" i="1"/>
  <c r="I157" i="1"/>
  <c r="I156" i="1"/>
  <c r="I252" i="1"/>
  <c r="I155" i="1"/>
  <c r="I251" i="1"/>
  <c r="I154" i="1"/>
  <c r="I50" i="1"/>
  <c r="I250" i="1"/>
  <c r="I249" i="1"/>
  <c r="I49" i="1"/>
  <c r="I153" i="1"/>
  <c r="I248" i="1"/>
  <c r="I247" i="1"/>
  <c r="I152" i="1"/>
  <c r="I48" i="1"/>
  <c r="I246" i="1"/>
  <c r="I151" i="1"/>
  <c r="I245" i="1"/>
  <c r="I298" i="1"/>
  <c r="I244" i="1"/>
  <c r="I150" i="1"/>
  <c r="I149" i="1"/>
  <c r="I243" i="1"/>
  <c r="I148" i="1"/>
  <c r="I147" i="1"/>
  <c r="I146" i="1"/>
  <c r="I145" i="1"/>
  <c r="I47" i="1"/>
  <c r="I144" i="1"/>
  <c r="I143" i="1"/>
  <c r="I242" i="1"/>
  <c r="I241" i="1"/>
  <c r="I240" i="1"/>
  <c r="I46" i="1"/>
  <c r="I142" i="1"/>
  <c r="I141" i="1"/>
  <c r="I140" i="1"/>
  <c r="I45" i="1"/>
  <c r="I297" i="1"/>
  <c r="I44" i="1"/>
  <c r="I239" i="1"/>
  <c r="I296" i="1"/>
  <c r="I43" i="1"/>
  <c r="I139" i="1"/>
  <c r="I295" i="1"/>
  <c r="I294" i="1"/>
  <c r="I42" i="1"/>
  <c r="I238" i="1"/>
  <c r="I138" i="1"/>
  <c r="I137" i="1"/>
  <c r="I237" i="1"/>
  <c r="I236" i="1"/>
  <c r="I41" i="1"/>
  <c r="I136" i="1"/>
  <c r="I135" i="1"/>
  <c r="I235" i="1"/>
  <c r="I234" i="1"/>
  <c r="I233" i="1"/>
  <c r="I134" i="1"/>
  <c r="I133" i="1"/>
  <c r="I232" i="1"/>
  <c r="I132" i="1"/>
  <c r="I131" i="1"/>
  <c r="I231" i="1"/>
  <c r="I230" i="1"/>
  <c r="I130" i="1"/>
  <c r="I40" i="1"/>
  <c r="I229" i="1"/>
  <c r="I129" i="1"/>
  <c r="I128" i="1"/>
  <c r="I127" i="1"/>
  <c r="I39" i="1"/>
  <c r="I228" i="1"/>
  <c r="I126" i="1"/>
  <c r="I38" i="1"/>
  <c r="I37" i="1"/>
  <c r="I227" i="1"/>
  <c r="I36" i="1"/>
  <c r="I125" i="1"/>
  <c r="I226" i="1"/>
  <c r="I124" i="1"/>
  <c r="I35" i="1"/>
  <c r="I34" i="1"/>
  <c r="I33" i="1"/>
  <c r="I225" i="1"/>
  <c r="I123" i="1"/>
  <c r="I122" i="1"/>
  <c r="I32" i="1"/>
  <c r="I121" i="1"/>
  <c r="I120" i="1"/>
  <c r="I31" i="1"/>
  <c r="I119" i="1"/>
  <c r="I30" i="1"/>
  <c r="I224" i="1"/>
  <c r="I223" i="1"/>
  <c r="I222" i="1"/>
  <c r="I29" i="1"/>
  <c r="I221" i="1"/>
  <c r="I220" i="1"/>
  <c r="I118" i="1"/>
  <c r="I117" i="1"/>
  <c r="I116" i="1"/>
  <c r="I115" i="1"/>
  <c r="I114" i="1"/>
  <c r="I219" i="1"/>
  <c r="I113" i="1"/>
  <c r="I112" i="1"/>
  <c r="I28" i="1"/>
  <c r="I111" i="1"/>
  <c r="I27" i="1"/>
  <c r="I110" i="1"/>
  <c r="I26" i="1"/>
  <c r="I218" i="1"/>
  <c r="I109" i="1"/>
  <c r="I25" i="1"/>
  <c r="I217" i="1"/>
  <c r="I216" i="1"/>
  <c r="I215" i="1"/>
  <c r="I108" i="1"/>
  <c r="I24" i="1"/>
  <c r="I107" i="1"/>
  <c r="I293" i="1"/>
  <c r="I106" i="1"/>
  <c r="I105" i="1"/>
  <c r="I104" i="1"/>
  <c r="I214" i="1"/>
  <c r="I23" i="1"/>
  <c r="I103" i="1"/>
  <c r="I102" i="1"/>
  <c r="I101" i="1"/>
  <c r="I213" i="1"/>
  <c r="I292" i="1"/>
  <c r="I291" i="1"/>
  <c r="I22" i="1"/>
  <c r="I100" i="1"/>
  <c r="I99" i="1"/>
  <c r="I212" i="1"/>
  <c r="I21" i="1"/>
  <c r="I211" i="1"/>
  <c r="I20" i="1"/>
  <c r="I19" i="1"/>
  <c r="I210" i="1"/>
  <c r="I209" i="1"/>
  <c r="I18" i="1"/>
  <c r="I98" i="1"/>
  <c r="I97" i="1"/>
  <c r="I96" i="1"/>
  <c r="I208" i="1"/>
  <c r="I95" i="1"/>
  <c r="I94" i="1"/>
  <c r="I207" i="1"/>
  <c r="I206" i="1"/>
  <c r="I17" i="1"/>
  <c r="I16" i="1"/>
  <c r="I15" i="1"/>
  <c r="I14" i="1"/>
  <c r="I93" i="1"/>
  <c r="I92" i="1"/>
  <c r="I205" i="1"/>
  <c r="I91" i="1"/>
  <c r="I13" i="1"/>
  <c r="I90" i="1"/>
  <c r="I89" i="1"/>
  <c r="I88" i="1"/>
  <c r="I290" i="1"/>
  <c r="I87" i="1"/>
  <c r="I12" i="1"/>
  <c r="I11" i="1"/>
  <c r="I10" i="1"/>
  <c r="I86" i="1"/>
  <c r="I85" i="1"/>
  <c r="I84" i="1"/>
  <c r="I83" i="1"/>
  <c r="I204" i="1"/>
  <c r="I9" i="1"/>
  <c r="I82" i="1"/>
  <c r="I203" i="1"/>
  <c r="I8" i="1"/>
  <c r="I202" i="1"/>
  <c r="I7" i="1"/>
  <c r="I289" i="1"/>
  <c r="I81" i="1"/>
  <c r="I80" i="1"/>
  <c r="I201" i="1"/>
  <c r="I79" i="1"/>
  <c r="I78" i="1"/>
  <c r="I77" i="1"/>
  <c r="I6" i="1"/>
  <c r="I200" i="1"/>
  <c r="I5" i="1"/>
  <c r="I76" i="1"/>
  <c r="I75" i="1"/>
  <c r="I74" i="1"/>
  <c r="I4" i="1"/>
  <c r="I73" i="1"/>
  <c r="I3" i="1"/>
  <c r="I199" i="1"/>
  <c r="I72" i="1"/>
  <c r="I71" i="1"/>
  <c r="I198" i="1"/>
  <c r="I2" i="1"/>
  <c r="I197" i="1"/>
  <c r="I70" i="1"/>
  <c r="I196" i="1"/>
  <c r="I195" i="1"/>
  <c r="I69" i="1"/>
</calcChain>
</file>

<file path=xl/sharedStrings.xml><?xml version="1.0" encoding="utf-8"?>
<sst xmlns="http://schemas.openxmlformats.org/spreadsheetml/2006/main" count="2452" uniqueCount="442">
  <si>
    <t>Index</t>
  </si>
  <si>
    <t>work_year</t>
  </si>
  <si>
    <t>experience_level</t>
  </si>
  <si>
    <t>employment_type</t>
  </si>
  <si>
    <t>job_title</t>
  </si>
  <si>
    <t>salary</t>
  </si>
  <si>
    <t>salary_currency</t>
  </si>
  <si>
    <t>salary_in_usd</t>
  </si>
  <si>
    <t>employee_residence</t>
  </si>
  <si>
    <t>remote_ratio</t>
  </si>
  <si>
    <t>company_location</t>
  </si>
  <si>
    <t>company_size</t>
  </si>
  <si>
    <t>EMP001</t>
  </si>
  <si>
    <t>Intermediate</t>
  </si>
  <si>
    <t>Full Time</t>
  </si>
  <si>
    <t>Data Scientist</t>
  </si>
  <si>
    <t>EUR</t>
  </si>
  <si>
    <t>DE</t>
  </si>
  <si>
    <t>Large</t>
  </si>
  <si>
    <t>EMP002</t>
  </si>
  <si>
    <t>Senior</t>
  </si>
  <si>
    <t>Machine Learning Scientist</t>
  </si>
  <si>
    <t>USD</t>
  </si>
  <si>
    <t>JP</t>
  </si>
  <si>
    <t>Small</t>
  </si>
  <si>
    <t>EMP003</t>
  </si>
  <si>
    <t>Big Data Engineer</t>
  </si>
  <si>
    <t>GBP</t>
  </si>
  <si>
    <t>GB</t>
  </si>
  <si>
    <t>Medium</t>
  </si>
  <si>
    <t>EMP004</t>
  </si>
  <si>
    <t>Product Data Analyst</t>
  </si>
  <si>
    <t>HN</t>
  </si>
  <si>
    <t>EMP005</t>
  </si>
  <si>
    <t>Machine Learning Engineer</t>
  </si>
  <si>
    <t>US</t>
  </si>
  <si>
    <t>EMP006</t>
  </si>
  <si>
    <t>Entrylevel</t>
  </si>
  <si>
    <t>Data Analyst</t>
  </si>
  <si>
    <t>EMP007</t>
  </si>
  <si>
    <t>Lead Data Scientist</t>
  </si>
  <si>
    <t>EMP008</t>
  </si>
  <si>
    <t>HUF</t>
  </si>
  <si>
    <t>HU</t>
  </si>
  <si>
    <t>EMP009</t>
  </si>
  <si>
    <t>Business Data Analyst</t>
  </si>
  <si>
    <t>EMP010</t>
  </si>
  <si>
    <t>Lead Data Engineer</t>
  </si>
  <si>
    <t>NZ</t>
  </si>
  <si>
    <t>EMP011</t>
  </si>
  <si>
    <t>FR</t>
  </si>
  <si>
    <t>EMP012</t>
  </si>
  <si>
    <t>INR</t>
  </si>
  <si>
    <t>IN</t>
  </si>
  <si>
    <t>EMP013</t>
  </si>
  <si>
    <t>EMP014</t>
  </si>
  <si>
    <t>Lead Data Analyst</t>
  </si>
  <si>
    <t>EMP015</t>
  </si>
  <si>
    <t>EMP016</t>
  </si>
  <si>
    <t>PK</t>
  </si>
  <si>
    <t>EMP017</t>
  </si>
  <si>
    <t>Data Engineer</t>
  </si>
  <si>
    <t>JPY</t>
  </si>
  <si>
    <t>EMP018</t>
  </si>
  <si>
    <t>PL</t>
  </si>
  <si>
    <t>EMP019</t>
  </si>
  <si>
    <t>Data Science Consultant</t>
  </si>
  <si>
    <t>EMP020</t>
  </si>
  <si>
    <t>PT</t>
  </si>
  <si>
    <t>EMP021</t>
  </si>
  <si>
    <t>CNY</t>
  </si>
  <si>
    <t>CN</t>
  </si>
  <si>
    <t>EMP022</t>
  </si>
  <si>
    <t>EMP023</t>
  </si>
  <si>
    <t>GR</t>
  </si>
  <si>
    <t>EMP024</t>
  </si>
  <si>
    <t>BI Data Analyst</t>
  </si>
  <si>
    <t>EMP025</t>
  </si>
  <si>
    <t>AE</t>
  </si>
  <si>
    <t>EMP026</t>
  </si>
  <si>
    <t>Expert</t>
  </si>
  <si>
    <t>Director of Data Science</t>
  </si>
  <si>
    <t>EMP027</t>
  </si>
  <si>
    <t>Research Scientist</t>
  </si>
  <si>
    <t>NL</t>
  </si>
  <si>
    <t>EMP028</t>
  </si>
  <si>
    <t>MXN</t>
  </si>
  <si>
    <t>MX</t>
  </si>
  <si>
    <t>EMP029</t>
  </si>
  <si>
    <t>Contract</t>
  </si>
  <si>
    <t>EMP030</t>
  </si>
  <si>
    <t>Machine Learning Manager</t>
  </si>
  <si>
    <t>CAD</t>
  </si>
  <si>
    <t>CA</t>
  </si>
  <si>
    <t>EMP031</t>
  </si>
  <si>
    <t>Data Engineering Manager</t>
  </si>
  <si>
    <t>EMP032</t>
  </si>
  <si>
    <t>EMP033</t>
  </si>
  <si>
    <t>EMP034</t>
  </si>
  <si>
    <t>EMP035</t>
  </si>
  <si>
    <t>EMP036</t>
  </si>
  <si>
    <t>AT</t>
  </si>
  <si>
    <t>EMP037</t>
  </si>
  <si>
    <t>EMP038</t>
  </si>
  <si>
    <t>EMP039</t>
  </si>
  <si>
    <t>NG</t>
  </si>
  <si>
    <t>EMP040</t>
  </si>
  <si>
    <t>EMP041</t>
  </si>
  <si>
    <t>PH</t>
  </si>
  <si>
    <t>EMP042</t>
  </si>
  <si>
    <t>ES</t>
  </si>
  <si>
    <t>EMP043</t>
  </si>
  <si>
    <t>Machine Learning Infrastructure Engineer</t>
  </si>
  <si>
    <t>EMP044</t>
  </si>
  <si>
    <t>EMP045</t>
  </si>
  <si>
    <t>EMP046</t>
  </si>
  <si>
    <t>Part Time</t>
  </si>
  <si>
    <t>ML Engineer</t>
  </si>
  <si>
    <t>EMP047</t>
  </si>
  <si>
    <t>EMP048</t>
  </si>
  <si>
    <t>EMP049</t>
  </si>
  <si>
    <t>EMP050</t>
  </si>
  <si>
    <t>EMP051</t>
  </si>
  <si>
    <t>EMP052</t>
  </si>
  <si>
    <t>EMP053</t>
  </si>
  <si>
    <t>AI Scientist</t>
  </si>
  <si>
    <t>DKK</t>
  </si>
  <si>
    <t>DK</t>
  </si>
  <si>
    <t>EMP054</t>
  </si>
  <si>
    <t>EMP055</t>
  </si>
  <si>
    <t>Freelance</t>
  </si>
  <si>
    <t>Computer Vision Engineer</t>
  </si>
  <si>
    <t>RU</t>
  </si>
  <si>
    <t>EMP056</t>
  </si>
  <si>
    <t>Principal Data Scientist</t>
  </si>
  <si>
    <t>EMP057</t>
  </si>
  <si>
    <t>EMP058</t>
  </si>
  <si>
    <t>EMP059</t>
  </si>
  <si>
    <t>EMP060</t>
  </si>
  <si>
    <t>EMP061</t>
  </si>
  <si>
    <t>EMP062</t>
  </si>
  <si>
    <t>EMP063</t>
  </si>
  <si>
    <t>IT</t>
  </si>
  <si>
    <t>EMP064</t>
  </si>
  <si>
    <t>EMP065</t>
  </si>
  <si>
    <t>HR</t>
  </si>
  <si>
    <t>EMP066</t>
  </si>
  <si>
    <t>EMP067</t>
  </si>
  <si>
    <t>EMP068</t>
  </si>
  <si>
    <t>Data Science Manager</t>
  </si>
  <si>
    <t>EMP069</t>
  </si>
  <si>
    <t>EMP070</t>
  </si>
  <si>
    <t>EMP071</t>
  </si>
  <si>
    <t>LU</t>
  </si>
  <si>
    <t>EMP072</t>
  </si>
  <si>
    <t>EMP073</t>
  </si>
  <si>
    <t>EMP074</t>
  </si>
  <si>
    <t>EMP075</t>
  </si>
  <si>
    <t>Head of Data</t>
  </si>
  <si>
    <t>EMP076</t>
  </si>
  <si>
    <t>EMP077</t>
  </si>
  <si>
    <t>EMP078</t>
  </si>
  <si>
    <t>3D Computer Vision Researcher</t>
  </si>
  <si>
    <t>EMP079</t>
  </si>
  <si>
    <t>EMP080</t>
  </si>
  <si>
    <t>EMP081</t>
  </si>
  <si>
    <t>Data Analytics Engineer</t>
  </si>
  <si>
    <t>EMP082</t>
  </si>
  <si>
    <t>EMP083</t>
  </si>
  <si>
    <t>Applied Data Scientist</t>
  </si>
  <si>
    <t>EMP084</t>
  </si>
  <si>
    <t>EMP085</t>
  </si>
  <si>
    <t>EMP086</t>
  </si>
  <si>
    <t>PLN</t>
  </si>
  <si>
    <t>EMP087</t>
  </si>
  <si>
    <t>EMP088</t>
  </si>
  <si>
    <t>EMP089</t>
  </si>
  <si>
    <t>EMP090</t>
  </si>
  <si>
    <t>BG</t>
  </si>
  <si>
    <t>EMP091</t>
  </si>
  <si>
    <t>Marketing Data Analyst</t>
  </si>
  <si>
    <t>EMP092</t>
  </si>
  <si>
    <t>EMP093</t>
  </si>
  <si>
    <t>EMP094</t>
  </si>
  <si>
    <t>EMP095</t>
  </si>
  <si>
    <t>EMP096</t>
  </si>
  <si>
    <t>Cloud Data Engineer</t>
  </si>
  <si>
    <t>SGD</t>
  </si>
  <si>
    <t>SG</t>
  </si>
  <si>
    <t>EMP097</t>
  </si>
  <si>
    <t>BR</t>
  </si>
  <si>
    <t>EMP098</t>
  </si>
  <si>
    <t>Financial Data Analyst</t>
  </si>
  <si>
    <t>EMP099</t>
  </si>
  <si>
    <t>Computer Vision Software Engineer</t>
  </si>
  <si>
    <t>EMP100</t>
  </si>
  <si>
    <t>EMP101</t>
  </si>
  <si>
    <t>EMP102</t>
  </si>
  <si>
    <t>EMP103</t>
  </si>
  <si>
    <t>EMP104</t>
  </si>
  <si>
    <t>EMP105</t>
  </si>
  <si>
    <t>EMP106</t>
  </si>
  <si>
    <t>EMP107</t>
  </si>
  <si>
    <t>EMP108</t>
  </si>
  <si>
    <t>EMP109</t>
  </si>
  <si>
    <t>EMP110</t>
  </si>
  <si>
    <t>EMP111</t>
  </si>
  <si>
    <t>EMP112</t>
  </si>
  <si>
    <t>Director of Data Engineering</t>
  </si>
  <si>
    <t>EMP113</t>
  </si>
  <si>
    <t>EMP114</t>
  </si>
  <si>
    <t>EMP115</t>
  </si>
  <si>
    <t>EMP116</t>
  </si>
  <si>
    <t>EMP117</t>
  </si>
  <si>
    <t>EMP118</t>
  </si>
  <si>
    <t>Data Science Engineer</t>
  </si>
  <si>
    <t>EMP119</t>
  </si>
  <si>
    <t>EMP120</t>
  </si>
  <si>
    <t>EMP121</t>
  </si>
  <si>
    <t>RO</t>
  </si>
  <si>
    <t>EMP122</t>
  </si>
  <si>
    <t>Principal Data Engineer</t>
  </si>
  <si>
    <t>EMP123</t>
  </si>
  <si>
    <t>EMP124</t>
  </si>
  <si>
    <t>EMP125</t>
  </si>
  <si>
    <t>EMP126</t>
  </si>
  <si>
    <t>EMP127</t>
  </si>
  <si>
    <t>EMP128</t>
  </si>
  <si>
    <t>EMP129</t>
  </si>
  <si>
    <t>EMP130</t>
  </si>
  <si>
    <t>EMP131</t>
  </si>
  <si>
    <t>Machine Learning Developer</t>
  </si>
  <si>
    <t>IQ</t>
  </si>
  <si>
    <t>EMP132</t>
  </si>
  <si>
    <t>EMP133</t>
  </si>
  <si>
    <t>Applied Machine Learning Scientist</t>
  </si>
  <si>
    <t>VN</t>
  </si>
  <si>
    <t>EMP134</t>
  </si>
  <si>
    <t>EMP135</t>
  </si>
  <si>
    <t>EMP136</t>
  </si>
  <si>
    <t>EMP137</t>
  </si>
  <si>
    <t>EMP138</t>
  </si>
  <si>
    <t>EMP139</t>
  </si>
  <si>
    <t>EMP140</t>
  </si>
  <si>
    <t>EMP141</t>
  </si>
  <si>
    <t>EMP142</t>
  </si>
  <si>
    <t>EMP143</t>
  </si>
  <si>
    <t>EMP144</t>
  </si>
  <si>
    <t>EMP145</t>
  </si>
  <si>
    <t>EMP146</t>
  </si>
  <si>
    <t>BE</t>
  </si>
  <si>
    <t>EMP147</t>
  </si>
  <si>
    <t>EMP148</t>
  </si>
  <si>
    <t>EMP149</t>
  </si>
  <si>
    <t>EMP150</t>
  </si>
  <si>
    <t>EMP151</t>
  </si>
  <si>
    <t>EMP152</t>
  </si>
  <si>
    <t>EMP153</t>
  </si>
  <si>
    <t>EMP154</t>
  </si>
  <si>
    <t>UA</t>
  </si>
  <si>
    <t>EMP155</t>
  </si>
  <si>
    <t>EMP156</t>
  </si>
  <si>
    <t>EMP157</t>
  </si>
  <si>
    <t>IL</t>
  </si>
  <si>
    <t>EMP158</t>
  </si>
  <si>
    <t>EMP159</t>
  </si>
  <si>
    <t>Data Analytics Manager</t>
  </si>
  <si>
    <t>EMP160</t>
  </si>
  <si>
    <t>EMP161</t>
  </si>
  <si>
    <t>EMP162</t>
  </si>
  <si>
    <t>Head of Data Science</t>
  </si>
  <si>
    <t>EMP163</t>
  </si>
  <si>
    <t>MT</t>
  </si>
  <si>
    <t>EMP164</t>
  </si>
  <si>
    <t>EMP165</t>
  </si>
  <si>
    <t>EMP166</t>
  </si>
  <si>
    <t>Data Specialist</t>
  </si>
  <si>
    <t>EMP167</t>
  </si>
  <si>
    <t>EMP168</t>
  </si>
  <si>
    <t>EMP169</t>
  </si>
  <si>
    <t>EMP170</t>
  </si>
  <si>
    <t>Data Architect</t>
  </si>
  <si>
    <t>EMP171</t>
  </si>
  <si>
    <t>EMP172</t>
  </si>
  <si>
    <t>EMP173</t>
  </si>
  <si>
    <t>EMP174</t>
  </si>
  <si>
    <t>EMP175</t>
  </si>
  <si>
    <t>EMP176</t>
  </si>
  <si>
    <t>EMP177</t>
  </si>
  <si>
    <t>EMP178</t>
  </si>
  <si>
    <t>CLP</t>
  </si>
  <si>
    <t>CL</t>
  </si>
  <si>
    <t>EMP179</t>
  </si>
  <si>
    <t>EMP180</t>
  </si>
  <si>
    <t>EMP181</t>
  </si>
  <si>
    <t>EMP182</t>
  </si>
  <si>
    <t>EMP183</t>
  </si>
  <si>
    <t>EMP184</t>
  </si>
  <si>
    <t>Finance Data Analyst</t>
  </si>
  <si>
    <t>EMP185</t>
  </si>
  <si>
    <t>EMP186</t>
  </si>
  <si>
    <t>IR</t>
  </si>
  <si>
    <t>EMP187</t>
  </si>
  <si>
    <t>EMP188</t>
  </si>
  <si>
    <t>EMP189</t>
  </si>
  <si>
    <t>EMP190</t>
  </si>
  <si>
    <t>EMP191</t>
  </si>
  <si>
    <t>EMP192</t>
  </si>
  <si>
    <t>CO</t>
  </si>
  <si>
    <t>EMP193</t>
  </si>
  <si>
    <t>MD</t>
  </si>
  <si>
    <t>EMP194</t>
  </si>
  <si>
    <t>EMP195</t>
  </si>
  <si>
    <t>EMP196</t>
  </si>
  <si>
    <t>EMP197</t>
  </si>
  <si>
    <t>KE</t>
  </si>
  <si>
    <t>EMP198</t>
  </si>
  <si>
    <t>EMP199</t>
  </si>
  <si>
    <t>EMP200</t>
  </si>
  <si>
    <t>EMP201</t>
  </si>
  <si>
    <t>EMP202</t>
  </si>
  <si>
    <t>EMP203</t>
  </si>
  <si>
    <t>EMP204</t>
  </si>
  <si>
    <t>EMP205</t>
  </si>
  <si>
    <t>EMP206</t>
  </si>
  <si>
    <t>BRL</t>
  </si>
  <si>
    <t>EMP207</t>
  </si>
  <si>
    <t>EMP208</t>
  </si>
  <si>
    <t>EMP209</t>
  </si>
  <si>
    <t>EMP210</t>
  </si>
  <si>
    <t>EMP211</t>
  </si>
  <si>
    <t>SI</t>
  </si>
  <si>
    <t>EMP212</t>
  </si>
  <si>
    <t>EMP213</t>
  </si>
  <si>
    <t>HK</t>
  </si>
  <si>
    <t>EMP214</t>
  </si>
  <si>
    <t>CH</t>
  </si>
  <si>
    <t>EMP215</t>
  </si>
  <si>
    <t>EMP216</t>
  </si>
  <si>
    <t>EMP217</t>
  </si>
  <si>
    <t>EMP218</t>
  </si>
  <si>
    <t>EMP219</t>
  </si>
  <si>
    <t>EMP220</t>
  </si>
  <si>
    <t>EMP221</t>
  </si>
  <si>
    <t>EMP222</t>
  </si>
  <si>
    <t>EMP223</t>
  </si>
  <si>
    <t>EMP224</t>
  </si>
  <si>
    <t>EMP225</t>
  </si>
  <si>
    <t>EMP226</t>
  </si>
  <si>
    <t>EMP227</t>
  </si>
  <si>
    <t>EMP228</t>
  </si>
  <si>
    <t>EMP229</t>
  </si>
  <si>
    <t>EMP230</t>
  </si>
  <si>
    <t>EMP231</t>
  </si>
  <si>
    <t>EMP232</t>
  </si>
  <si>
    <t>EMP233</t>
  </si>
  <si>
    <t>EMP234</t>
  </si>
  <si>
    <t>EMP235</t>
  </si>
  <si>
    <t>EMP236</t>
  </si>
  <si>
    <t>EMP237</t>
  </si>
  <si>
    <t>EMP238</t>
  </si>
  <si>
    <t>EMP239</t>
  </si>
  <si>
    <t>EMP240</t>
  </si>
  <si>
    <t>EMP241</t>
  </si>
  <si>
    <t>EMP242</t>
  </si>
  <si>
    <t>EMP243</t>
  </si>
  <si>
    <t>EMP244</t>
  </si>
  <si>
    <t>EMP245</t>
  </si>
  <si>
    <t>AS</t>
  </si>
  <si>
    <t>EMP246</t>
  </si>
  <si>
    <t>EMP247</t>
  </si>
  <si>
    <t>EMP248</t>
  </si>
  <si>
    <t>TRY</t>
  </si>
  <si>
    <t>TR</t>
  </si>
  <si>
    <t>EMP249</t>
  </si>
  <si>
    <t>EMP250</t>
  </si>
  <si>
    <t>Principal Data Analyst</t>
  </si>
  <si>
    <t>EMP251</t>
  </si>
  <si>
    <t>EMP252</t>
  </si>
  <si>
    <t>EMP253</t>
  </si>
  <si>
    <t>EMP254</t>
  </si>
  <si>
    <t>EMP255</t>
  </si>
  <si>
    <t>EMP256</t>
  </si>
  <si>
    <t>Big Data Architect</t>
  </si>
  <si>
    <t>EMP257</t>
  </si>
  <si>
    <t>EMP258</t>
  </si>
  <si>
    <t>EMP259</t>
  </si>
  <si>
    <t>EMP260</t>
  </si>
  <si>
    <t>EMP261</t>
  </si>
  <si>
    <t>EMP262</t>
  </si>
  <si>
    <t>EMP263</t>
  </si>
  <si>
    <t>EMP264</t>
  </si>
  <si>
    <t>EMP265</t>
  </si>
  <si>
    <t>RS</t>
  </si>
  <si>
    <t>EMP266</t>
  </si>
  <si>
    <t>PR</t>
  </si>
  <si>
    <t>EMP267</t>
  </si>
  <si>
    <t>EMP268</t>
  </si>
  <si>
    <t>EMP269</t>
  </si>
  <si>
    <t>EMP270</t>
  </si>
  <si>
    <t>EMP271</t>
  </si>
  <si>
    <t>EMP272</t>
  </si>
  <si>
    <t>EMP273</t>
  </si>
  <si>
    <t>EMP274</t>
  </si>
  <si>
    <t>EMP275</t>
  </si>
  <si>
    <t>EMP276</t>
  </si>
  <si>
    <t>EMP277</t>
  </si>
  <si>
    <t>EMP278</t>
  </si>
  <si>
    <t>EMP279</t>
  </si>
  <si>
    <t>EMP280</t>
  </si>
  <si>
    <t>EMP281</t>
  </si>
  <si>
    <t>EMP282</t>
  </si>
  <si>
    <t>JE</t>
  </si>
  <si>
    <t>EMP283</t>
  </si>
  <si>
    <t>EMP284</t>
  </si>
  <si>
    <t>Staff Data Scientist</t>
  </si>
  <si>
    <t>EMP285</t>
  </si>
  <si>
    <t>CZ</t>
  </si>
  <si>
    <t>EMP286</t>
  </si>
  <si>
    <t>EMP287</t>
  </si>
  <si>
    <t>EMP288</t>
  </si>
  <si>
    <t>EMP289</t>
  </si>
  <si>
    <t>EMP290</t>
  </si>
  <si>
    <t>EMP291</t>
  </si>
  <si>
    <t>EMP292</t>
  </si>
  <si>
    <t>EMP293</t>
  </si>
  <si>
    <t>EMP294</t>
  </si>
  <si>
    <t>EMP295</t>
  </si>
  <si>
    <t>EMP296</t>
  </si>
  <si>
    <t>EMP297</t>
  </si>
  <si>
    <t>EMP298</t>
  </si>
  <si>
    <t>EMP299</t>
  </si>
  <si>
    <t>EMP300</t>
  </si>
  <si>
    <t>salary_in_rupee</t>
  </si>
  <si>
    <t>remote_label</t>
  </si>
  <si>
    <t>exp_order</t>
  </si>
  <si>
    <t>Row Labels</t>
  </si>
  <si>
    <t>Grand Total</t>
  </si>
  <si>
    <t>Count of Index</t>
  </si>
  <si>
    <t>Average of salary_in_usd</t>
  </si>
  <si>
    <t>(All)</t>
  </si>
  <si>
    <t>Sum of salary_in_usd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</si>
</sst>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Calibri"/>
      <scheme val="minor"/>
    </font>
    <font>
      <b/>
      <sz val="11"/>
      <color theme="1"/>
      <name val="Calibri"/>
    </font>
    <font>
      <sz val="11"/>
      <color theme="1"/>
      <name val="Calibri"/>
    </font>
    <font>
      <sz val="10"/>
      <color rgb="FF000000"/>
      <name val="Calibri"/>
      <family val="2"/>
      <scheme val="minor"/>
    </font>
    <font>
      <b/>
      <sz val="10"/>
      <color rgb="FF000000"/>
      <name val="Calibri"/>
      <family val="2"/>
      <scheme val="minor"/>
    </font>
  </fonts>
  <fills count="5">
    <fill>
      <patternFill patternType="none"/>
    </fill>
    <fill>
      <patternFill patternType="gray125"/>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xf numFmtId="0" fontId="2" fillId="3" borderId="0" xfId="0" applyFont="1" applyFill="1" applyAlignment="1">
      <alignment horizontal="right"/>
    </xf>
    <xf numFmtId="0" fontId="2" fillId="3" borderId="0" xfId="0" applyFont="1" applyFill="1"/>
    <xf numFmtId="0" fontId="2" fillId="4" borderId="0" xfId="0" applyFont="1" applyFill="1" applyAlignment="1">
      <alignment horizontal="right"/>
    </xf>
    <xf numFmtId="0" fontId="2" fillId="4" borderId="0" xfId="0" applyFont="1" applyFill="1"/>
    <xf numFmtId="2" fontId="1" fillId="2" borderId="0" xfId="0" applyNumberFormat="1" applyFont="1" applyFill="1"/>
    <xf numFmtId="2" fontId="2" fillId="3" borderId="0" xfId="0" applyNumberFormat="1" applyFont="1" applyFill="1" applyAlignment="1">
      <alignment horizontal="right"/>
    </xf>
    <xf numFmtId="2" fontId="2" fillId="4" borderId="0" xfId="0" applyNumberFormat="1" applyFont="1" applyFill="1" applyAlignment="1">
      <alignment horizontal="right"/>
    </xf>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0" fontId="3" fillId="0" borderId="0" xfId="0" applyFont="1"/>
    <xf numFmtId="0" fontId="4" fillId="0" borderId="0" xfId="0" applyFont="1"/>
  </cellXfs>
  <cellStyles count="1">
    <cellStyle name="Normal" xfId="0" builtinId="0"/>
  </cellStyles>
  <dxfs count="20">
    <dxf>
      <font>
        <b val="0"/>
        <i val="0"/>
        <strike val="0"/>
        <condense val="0"/>
        <extend val="0"/>
        <outline val="0"/>
        <shadow val="0"/>
        <u val="none"/>
        <vertAlign val="baseline"/>
        <sz val="11"/>
        <color theme="1"/>
        <name val="Calibri"/>
        <scheme val="none"/>
      </font>
      <fill>
        <patternFill patternType="solid">
          <fgColor rgb="FFDDF2F0"/>
          <bgColor rgb="FFDDF2F0"/>
        </patternFill>
      </fill>
    </dxf>
    <dxf>
      <font>
        <b val="0"/>
        <i val="0"/>
        <strike val="0"/>
        <condense val="0"/>
        <extend val="0"/>
        <outline val="0"/>
        <shadow val="0"/>
        <u val="none"/>
        <vertAlign val="baseline"/>
        <sz val="11"/>
        <color theme="1"/>
        <name val="Calibri"/>
        <scheme val="none"/>
      </font>
      <fill>
        <patternFill patternType="solid">
          <fgColor rgb="FFDDF2F0"/>
          <bgColor rgb="FFDDF2F0"/>
        </patternFill>
      </fill>
    </dxf>
    <dxf>
      <font>
        <b val="0"/>
        <i val="0"/>
        <strike val="0"/>
        <condense val="0"/>
        <extend val="0"/>
        <outline val="0"/>
        <shadow val="0"/>
        <u val="none"/>
        <vertAlign val="baseline"/>
        <sz val="11"/>
        <color theme="1"/>
        <name val="Calibri"/>
        <scheme val="none"/>
      </font>
      <fill>
        <patternFill patternType="solid">
          <fgColor rgb="FFDDF2F0"/>
          <bgColor rgb="FFDDF2F0"/>
        </patternFill>
      </fill>
    </dxf>
    <dxf>
      <font>
        <b val="0"/>
        <i val="0"/>
        <strike val="0"/>
        <condense val="0"/>
        <extend val="0"/>
        <outline val="0"/>
        <shadow val="0"/>
        <u val="none"/>
        <vertAlign val="baseline"/>
        <sz val="11"/>
        <color theme="1"/>
        <name val="Calibri"/>
        <scheme val="none"/>
      </font>
      <fill>
        <patternFill patternType="solid">
          <fgColor rgb="FFDDF2F0"/>
          <bgColor rgb="FFDDF2F0"/>
        </patternFill>
      </fill>
    </dxf>
    <dxf>
      <font>
        <b val="0"/>
        <i val="0"/>
        <strike val="0"/>
        <condense val="0"/>
        <extend val="0"/>
        <outline val="0"/>
        <shadow val="0"/>
        <u val="none"/>
        <vertAlign val="baseline"/>
        <sz val="11"/>
        <color theme="1"/>
        <name val="Calibri"/>
        <scheme val="none"/>
      </font>
      <numFmt numFmtId="2" formatCode="0.00"/>
      <fill>
        <patternFill patternType="solid">
          <fgColor rgb="FFDDF2F0"/>
          <bgColor rgb="FFDDF2F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rgb="FFDDF2F0"/>
          <bgColor rgb="FFDDF2F0"/>
        </patternFill>
      </fill>
    </dxf>
    <dxf>
      <font>
        <b val="0"/>
        <i val="0"/>
        <strike val="0"/>
        <condense val="0"/>
        <extend val="0"/>
        <outline val="0"/>
        <shadow val="0"/>
        <u val="none"/>
        <vertAlign val="baseline"/>
        <sz val="11"/>
        <color theme="1"/>
        <name val="Calibri"/>
        <scheme val="none"/>
      </font>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rgb="FFDDF2F0"/>
          <bgColor rgb="FFDDF2F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rgb="FFDDF2F0"/>
          <bgColor rgb="FFDDF2F0"/>
        </patternFill>
      </fill>
    </dxf>
    <dxf>
      <font>
        <b val="0"/>
        <i val="0"/>
        <strike val="0"/>
        <condense val="0"/>
        <extend val="0"/>
        <outline val="0"/>
        <shadow val="0"/>
        <u val="none"/>
        <vertAlign val="baseline"/>
        <sz val="11"/>
        <color theme="1"/>
        <name val="Calibri"/>
        <scheme val="none"/>
      </font>
      <fill>
        <patternFill patternType="solid">
          <fgColor rgb="FFDDF2F0"/>
          <bgColor rgb="FFDDF2F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rgb="FFDDF2F0"/>
          <bgColor rgb="FFDDF2F0"/>
        </patternFill>
      </fill>
    </dxf>
    <dxf>
      <font>
        <b val="0"/>
        <i val="0"/>
        <strike val="0"/>
        <condense val="0"/>
        <extend val="0"/>
        <outline val="0"/>
        <shadow val="0"/>
        <u val="none"/>
        <vertAlign val="baseline"/>
        <sz val="11"/>
        <color theme="1"/>
        <name val="Calibri"/>
        <scheme val="none"/>
      </font>
      <fill>
        <patternFill patternType="solid">
          <fgColor rgb="FFDDF2F0"/>
          <bgColor rgb="FFDDF2F0"/>
        </patternFill>
      </fill>
    </dxf>
    <dxf>
      <font>
        <b val="0"/>
        <i val="0"/>
        <strike val="0"/>
        <condense val="0"/>
        <extend val="0"/>
        <outline val="0"/>
        <shadow val="0"/>
        <u val="none"/>
        <vertAlign val="baseline"/>
        <sz val="11"/>
        <color theme="1"/>
        <name val="Calibri"/>
        <scheme val="none"/>
      </font>
      <fill>
        <patternFill patternType="solid">
          <fgColor rgb="FFDDF2F0"/>
          <bgColor rgb="FFDDF2F0"/>
        </patternFill>
      </fill>
    </dxf>
    <dxf>
      <font>
        <b val="0"/>
        <i val="0"/>
        <strike val="0"/>
        <condense val="0"/>
        <extend val="0"/>
        <outline val="0"/>
        <shadow val="0"/>
        <u val="none"/>
        <vertAlign val="baseline"/>
        <sz val="11"/>
        <color theme="1"/>
        <name val="Calibri"/>
        <scheme val="none"/>
      </font>
      <fill>
        <patternFill patternType="solid">
          <fgColor rgb="FFDDF2F0"/>
          <bgColor rgb="FFDDF2F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rgb="FFDDF2F0"/>
          <bgColor rgb="FFDDF2F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rgb="FFDDF2F0"/>
          <bgColor rgb="FFDDF2F0"/>
        </patternFill>
      </fill>
    </dxf>
    <dxf>
      <font>
        <b/>
        <i val="0"/>
        <strike val="0"/>
        <condense val="0"/>
        <extend val="0"/>
        <outline val="0"/>
        <shadow val="0"/>
        <u val="none"/>
        <vertAlign val="baseline"/>
        <sz val="11"/>
        <color theme="1"/>
        <name val="Calibri"/>
        <scheme val="none"/>
      </font>
      <fill>
        <patternFill patternType="solid">
          <fgColor rgb="FF26A69A"/>
          <bgColor rgb="FF26A69A"/>
        </patternFill>
      </fill>
    </dxf>
    <dxf>
      <fill>
        <gradientFill degree="270">
          <stop position="0">
            <color theme="0"/>
          </stop>
          <stop position="1">
            <color rgb="FFC00000"/>
          </stop>
        </gradientFill>
      </fill>
    </dxf>
    <dxf>
      <font>
        <b/>
        <i val="0"/>
        <sz val="11"/>
        <name val="Arial"/>
        <scheme val="none"/>
      </font>
      <fill>
        <gradientFill degree="270">
          <stop position="0">
            <color theme="0"/>
          </stop>
          <stop position="1">
            <color theme="4"/>
          </stop>
        </gradientFill>
      </fill>
      <border diagonalUp="0" diagonalDown="0">
        <left style="thin">
          <color auto="1"/>
        </left>
        <right style="thin">
          <color auto="1"/>
        </right>
        <top style="thin">
          <color auto="1"/>
        </top>
        <bottom style="thin">
          <color auto="1"/>
        </bottom>
        <vertical/>
        <horizontal/>
      </border>
    </dxf>
    <dxf>
      <font>
        <sz val="11"/>
        <color theme="1" tint="4.9989318521683403E-2"/>
        <name val="Arial Black"/>
        <scheme val="none"/>
      </font>
      <border diagonalUp="0" diagonalDown="0">
        <left/>
        <right/>
        <top/>
        <bottom/>
        <vertical/>
        <horizontal/>
      </border>
    </dxf>
  </dxfs>
  <tableStyles count="5" defaultTableStyle="TableStyleMedium2" defaultPivotStyle="PivotStyleLight16">
    <tableStyle name="Slicer Style 1" pivot="0" table="0" count="1" xr9:uid="{00000000-0011-0000-FFFF-FFFF00000000}">
      <tableStyleElement type="wholeTable" dxfId="19"/>
    </tableStyle>
    <tableStyle name="Slicer Style 2" pivot="0" table="0" count="0" xr9:uid="{00000000-0011-0000-FFFF-FFFF01000000}"/>
    <tableStyle name="Slicer Style 3" pivot="0" table="0" count="0" xr9:uid="{00000000-0011-0000-FFFF-FFFF02000000}"/>
    <tableStyle name="Slicer Style 4" pivot="0" table="0" count="1" xr9:uid="{00000000-0011-0000-FFFF-FFFF03000000}">
      <tableStyleElement type="wholeTable" dxfId="18"/>
    </tableStyle>
    <tableStyle name="Slicer Style 5" pivot="0" table="0" count="1" xr9:uid="{00000000-0011-0000-FFFF-FFFF04000000}">
      <tableStyleElement type="wholeTable" dxfId="17"/>
    </tableStyle>
  </tableStyles>
  <colors>
    <mruColors>
      <color rgb="FF2805FB"/>
      <color rgb="FF0BAD0F"/>
      <color rgb="FF0000CC"/>
      <color rgb="FF990033"/>
      <color rgb="FFA50021"/>
      <color rgb="FF001A06"/>
      <color rgb="FF9A5C56"/>
    </mruColors>
  </colors>
  <extLst>
    <ext xmlns:x14="http://schemas.microsoft.com/office/spreadsheetml/2009/9/main" uri="{EB79DEF2-80B8-43e5-95BD-54CBDDF9020C}">
      <x14:slicerStyles defaultSlicerStyle="SlicerStyleDark6">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Salary Insights Dashboard.xlsx”..xlsx]Sheet2!PivotTable1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Compant</a:t>
            </a:r>
            <a:r>
              <a:rPr lang="en-US" baseline="0"/>
              <a:t> size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062221699899454"/>
          <c:y val="0.30916407332372575"/>
          <c:w val="0.82865619409514113"/>
          <c:h val="0.18634120734908136"/>
        </c:manualLayout>
      </c:layout>
      <c:pieChart>
        <c:varyColors val="1"/>
        <c:ser>
          <c:idx val="0"/>
          <c:order val="0"/>
          <c:tx>
            <c:strRef>
              <c:f>Sheet2!$B$3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Sheet2!$A$4:$A$7</c:f>
              <c:strCache>
                <c:ptCount val="3"/>
                <c:pt idx="0">
                  <c:v>Large</c:v>
                </c:pt>
                <c:pt idx="1">
                  <c:v>Medium</c:v>
                </c:pt>
                <c:pt idx="2">
                  <c:v>Small</c:v>
                </c:pt>
              </c:strCache>
            </c:strRef>
          </c:cat>
          <c:val>
            <c:numRef>
              <c:f>Sheet2!$B$4:$B$7</c:f>
              <c:numCache>
                <c:formatCode>0.00%</c:formatCode>
                <c:ptCount val="3"/>
                <c:pt idx="0">
                  <c:v>0.50666666666666671</c:v>
                </c:pt>
                <c:pt idx="1">
                  <c:v>0.26</c:v>
                </c:pt>
                <c:pt idx="2">
                  <c:v>0.23333333333333334</c:v>
                </c:pt>
              </c:numCache>
            </c:numRef>
          </c:val>
          <c:extLst>
            <c:ext xmlns:c16="http://schemas.microsoft.com/office/drawing/2014/chart" uri="{C3380CC4-5D6E-409C-BE32-E72D297353CC}">
              <c16:uniqueId val="{00000000-624B-47BA-BE0A-BEA7708881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Salary Insights Dashboard.xlsx”..xlsx]Sheet2!PivotTable2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t>
            </a:r>
            <a:r>
              <a:rPr lang="en-US" baseline="0"/>
              <a:t>erage Salary by job title(USD)</a:t>
            </a:r>
            <a:endParaRPr lang="en-US"/>
          </a:p>
        </c:rich>
      </c:tx>
      <c:layout>
        <c:manualLayout>
          <c:xMode val="edge"/>
          <c:yMode val="edge"/>
          <c:x val="0.38378292991153884"/>
          <c:y val="0.147127442403032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Sheet2!$D$4</c:f>
              <c:strCache>
                <c:ptCount val="1"/>
                <c:pt idx="0">
                  <c:v>Total</c:v>
                </c:pt>
              </c:strCache>
            </c:strRef>
          </c:tx>
          <c:spPr>
            <a:solidFill>
              <a:schemeClr val="accent1"/>
            </a:solidFill>
            <a:ln>
              <a:noFill/>
            </a:ln>
            <a:effectLst/>
          </c:spPr>
          <c:invertIfNegative val="0"/>
          <c:cat>
            <c:strRef>
              <c:f>Sheet2!$C$5:$C$15</c:f>
              <c:strCache>
                <c:ptCount val="10"/>
                <c:pt idx="0">
                  <c:v>Financial Data Analyst</c:v>
                </c:pt>
                <c:pt idx="1">
                  <c:v>Principal Data Engineer</c:v>
                </c:pt>
                <c:pt idx="2">
                  <c:v>Applied Machine Learning Scientist</c:v>
                </c:pt>
                <c:pt idx="3">
                  <c:v>Principal Data Scientist</c:v>
                </c:pt>
                <c:pt idx="4">
                  <c:v>Director of Data Science</c:v>
                </c:pt>
                <c:pt idx="5">
                  <c:v>Head of Data</c:v>
                </c:pt>
                <c:pt idx="6">
                  <c:v>Principal Data Analyst</c:v>
                </c:pt>
                <c:pt idx="7">
                  <c:v>Machine Learning Scientist</c:v>
                </c:pt>
                <c:pt idx="8">
                  <c:v>Data Architect</c:v>
                </c:pt>
                <c:pt idx="9">
                  <c:v>Data Specialist</c:v>
                </c:pt>
              </c:strCache>
            </c:strRef>
          </c:cat>
          <c:val>
            <c:numRef>
              <c:f>Sheet2!$D$5:$D$15</c:f>
              <c:numCache>
                <c:formatCode>General</c:formatCode>
                <c:ptCount val="10"/>
                <c:pt idx="0">
                  <c:v>450000</c:v>
                </c:pt>
                <c:pt idx="1">
                  <c:v>328333.33333333331</c:v>
                </c:pt>
                <c:pt idx="2">
                  <c:v>230700</c:v>
                </c:pt>
                <c:pt idx="3">
                  <c:v>224003.83333333334</c:v>
                </c:pt>
                <c:pt idx="4">
                  <c:v>194756.5</c:v>
                </c:pt>
                <c:pt idx="5">
                  <c:v>189279.66666666666</c:v>
                </c:pt>
                <c:pt idx="6">
                  <c:v>170000</c:v>
                </c:pt>
                <c:pt idx="7">
                  <c:v>168400</c:v>
                </c:pt>
                <c:pt idx="8">
                  <c:v>166666.66666666666</c:v>
                </c:pt>
                <c:pt idx="9">
                  <c:v>165000</c:v>
                </c:pt>
              </c:numCache>
            </c:numRef>
          </c:val>
          <c:extLst>
            <c:ext xmlns:c16="http://schemas.microsoft.com/office/drawing/2014/chart" uri="{C3380CC4-5D6E-409C-BE32-E72D297353CC}">
              <c16:uniqueId val="{00000000-7EEB-414A-815C-62C330DB4E1E}"/>
            </c:ext>
          </c:extLst>
        </c:ser>
        <c:dLbls>
          <c:showLegendKey val="0"/>
          <c:showVal val="0"/>
          <c:showCatName val="0"/>
          <c:showSerName val="0"/>
          <c:showPercent val="0"/>
          <c:showBubbleSize val="0"/>
        </c:dLbls>
        <c:gapWidth val="219"/>
        <c:axId val="33149983"/>
        <c:axId val="33147583"/>
      </c:barChart>
      <c:catAx>
        <c:axId val="3314998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7583"/>
        <c:crosses val="autoZero"/>
        <c:auto val="1"/>
        <c:lblAlgn val="ctr"/>
        <c:lblOffset val="100"/>
        <c:noMultiLvlLbl val="0"/>
      </c:catAx>
      <c:valAx>
        <c:axId val="33147583"/>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Salary Insights Dashboard.xlsx”..xlsx]Sheet2!PivotTable3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Counts</a:t>
            </a:r>
            <a:r>
              <a:rPr lang="en-US" baseline="0"/>
              <a:t> by experience and Employment type</a:t>
            </a:r>
            <a:endParaRPr lang="en-US"/>
          </a:p>
        </c:rich>
      </c:tx>
      <c:layout>
        <c:manualLayout>
          <c:xMode val="edge"/>
          <c:yMode val="edge"/>
          <c:x val="0.2897056584471816"/>
          <c:y val="0.1048249760170708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30303102141679"/>
          <c:y val="0.40967677335787567"/>
          <c:w val="0.74346233761038394"/>
          <c:h val="0.30627478856809565"/>
        </c:manualLayout>
      </c:layout>
      <c:barChart>
        <c:barDir val="col"/>
        <c:grouping val="stacked"/>
        <c:varyColors val="0"/>
        <c:ser>
          <c:idx val="0"/>
          <c:order val="0"/>
          <c:tx>
            <c:strRef>
              <c:f>Sheet2!$H$4</c:f>
              <c:strCache>
                <c:ptCount val="1"/>
                <c:pt idx="0">
                  <c:v>Total</c:v>
                </c:pt>
              </c:strCache>
            </c:strRef>
          </c:tx>
          <c:spPr>
            <a:solidFill>
              <a:schemeClr val="accent1"/>
            </a:solidFill>
            <a:ln>
              <a:noFill/>
            </a:ln>
            <a:effectLst/>
          </c:spPr>
          <c:invertIfNegative val="0"/>
          <c:cat>
            <c:strRef>
              <c:f>Sheet2!$G$5:$G$9</c:f>
              <c:strCache>
                <c:ptCount val="4"/>
                <c:pt idx="0">
                  <c:v>Entrylevel</c:v>
                </c:pt>
                <c:pt idx="1">
                  <c:v>Expert</c:v>
                </c:pt>
                <c:pt idx="2">
                  <c:v>Intermediate</c:v>
                </c:pt>
                <c:pt idx="3">
                  <c:v>Senior</c:v>
                </c:pt>
              </c:strCache>
            </c:strRef>
          </c:cat>
          <c:val>
            <c:numRef>
              <c:f>Sheet2!$H$5:$H$9</c:f>
              <c:numCache>
                <c:formatCode>General</c:formatCode>
                <c:ptCount val="4"/>
                <c:pt idx="0">
                  <c:v>67</c:v>
                </c:pt>
                <c:pt idx="1">
                  <c:v>13</c:v>
                </c:pt>
                <c:pt idx="2">
                  <c:v>126</c:v>
                </c:pt>
                <c:pt idx="3">
                  <c:v>94</c:v>
                </c:pt>
              </c:numCache>
            </c:numRef>
          </c:val>
          <c:extLst>
            <c:ext xmlns:c16="http://schemas.microsoft.com/office/drawing/2014/chart" uri="{C3380CC4-5D6E-409C-BE32-E72D297353CC}">
              <c16:uniqueId val="{00000000-EED1-45C1-B6B5-E4C864B35E1D}"/>
            </c:ext>
          </c:extLst>
        </c:ser>
        <c:dLbls>
          <c:showLegendKey val="0"/>
          <c:showVal val="0"/>
          <c:showCatName val="0"/>
          <c:showSerName val="0"/>
          <c:showPercent val="0"/>
          <c:showBubbleSize val="0"/>
        </c:dLbls>
        <c:gapWidth val="219"/>
        <c:overlap val="100"/>
        <c:axId val="87653807"/>
        <c:axId val="87649967"/>
      </c:barChart>
      <c:catAx>
        <c:axId val="8765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49967"/>
        <c:crosses val="autoZero"/>
        <c:auto val="1"/>
        <c:lblAlgn val="ctr"/>
        <c:lblOffset val="100"/>
        <c:noMultiLvlLbl val="0"/>
      </c:catAx>
      <c:valAx>
        <c:axId val="8764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5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Salary Insights Dashboard.xlsx”..xlsx]Sheet2!PivotTable4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Aaverage</a:t>
            </a:r>
            <a:r>
              <a:rPr lang="en-US" baseline="0"/>
              <a:t> salary vs experience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Sheet2!$F$26:$F$30</c:f>
              <c:strCache>
                <c:ptCount val="4"/>
                <c:pt idx="0">
                  <c:v>Entrylevel</c:v>
                </c:pt>
                <c:pt idx="1">
                  <c:v>Expert</c:v>
                </c:pt>
                <c:pt idx="2">
                  <c:v>Intermediate</c:v>
                </c:pt>
                <c:pt idx="3">
                  <c:v>Senior</c:v>
                </c:pt>
              </c:strCache>
            </c:strRef>
          </c:cat>
          <c:val>
            <c:numRef>
              <c:f>Sheet2!$G$26:$G$30</c:f>
              <c:numCache>
                <c:formatCode>General</c:formatCode>
                <c:ptCount val="4"/>
                <c:pt idx="0">
                  <c:v>4050720</c:v>
                </c:pt>
                <c:pt idx="1">
                  <c:v>2866113</c:v>
                </c:pt>
                <c:pt idx="2">
                  <c:v>10984510</c:v>
                </c:pt>
                <c:pt idx="3">
                  <c:v>12039046</c:v>
                </c:pt>
              </c:numCache>
            </c:numRef>
          </c:val>
          <c:smooth val="0"/>
          <c:extLst>
            <c:ext xmlns:c16="http://schemas.microsoft.com/office/drawing/2014/chart" uri="{C3380CC4-5D6E-409C-BE32-E72D297353CC}">
              <c16:uniqueId val="{00000000-8808-4120-B0C9-DB9A2A3325A8}"/>
            </c:ext>
          </c:extLst>
        </c:ser>
        <c:dLbls>
          <c:dLblPos val="t"/>
          <c:showLegendKey val="0"/>
          <c:showVal val="1"/>
          <c:showCatName val="0"/>
          <c:showSerName val="0"/>
          <c:showPercent val="0"/>
          <c:showBubbleSize val="0"/>
        </c:dLbls>
        <c:marker val="1"/>
        <c:smooth val="0"/>
        <c:axId val="162303023"/>
        <c:axId val="162303503"/>
      </c:lineChart>
      <c:catAx>
        <c:axId val="16230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03503"/>
        <c:crosses val="autoZero"/>
        <c:auto val="1"/>
        <c:lblAlgn val="ctr"/>
        <c:lblOffset val="100"/>
        <c:noMultiLvlLbl val="0"/>
      </c:catAx>
      <c:valAx>
        <c:axId val="16230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0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Salary Insights Dashboard.xlsx”..xlsx]Sheet2!PivotTable1</c:name>
    <c:fmtId val="2"/>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6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Compant size Distribution</a:t>
            </a:r>
          </a:p>
        </c:rich>
      </c:tx>
      <c:layout>
        <c:manualLayout>
          <c:xMode val="edge"/>
          <c:yMode val="edge"/>
          <c:x val="0.22216426071741036"/>
          <c:y val="5.9661599638099203E-3"/>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solidFill>
              <a:schemeClr val="accent1"/>
            </a:solidFill>
          </a:ln>
          <a:effectLst/>
        </c:spPr>
        <c:dLbl>
          <c:idx val="0"/>
          <c:layout>
            <c:manualLayout>
              <c:x val="-0.14497849227179935"/>
              <c:y val="0.119747757433935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solidFill>
              <a:schemeClr val="accent1"/>
            </a:solidFill>
          </a:ln>
          <a:effectLst/>
        </c:spPr>
        <c:dLbl>
          <c:idx val="0"/>
          <c:layout>
            <c:manualLayout>
              <c:x val="0.14048556430446194"/>
              <c:y val="-3.64017750793199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062221699899454"/>
          <c:y val="0.30916407332372575"/>
          <c:w val="0.82865619409514113"/>
          <c:h val="0.18634120734908136"/>
        </c:manualLayout>
      </c:layout>
      <c:pieChart>
        <c:varyColors val="1"/>
        <c:ser>
          <c:idx val="0"/>
          <c:order val="0"/>
          <c:tx>
            <c:strRef>
              <c:f>Sheet2!$B$3</c:f>
              <c:strCache>
                <c:ptCount val="1"/>
                <c:pt idx="0">
                  <c:v>Total</c:v>
                </c:pt>
              </c:strCache>
            </c:strRef>
          </c:tx>
          <c:spPr>
            <a:ln>
              <a:solidFill>
                <a:schemeClr val="accent1"/>
              </a:solidFill>
            </a:ln>
          </c:spPr>
          <c:dPt>
            <c:idx val="0"/>
            <c:bubble3D val="0"/>
            <c:spPr>
              <a:solidFill>
                <a:schemeClr val="accent1"/>
              </a:solidFill>
              <a:ln>
                <a:solidFill>
                  <a:schemeClr val="accent1"/>
                </a:solidFill>
              </a:ln>
              <a:effectLst/>
            </c:spPr>
            <c:extLst>
              <c:ext xmlns:c16="http://schemas.microsoft.com/office/drawing/2014/chart" uri="{C3380CC4-5D6E-409C-BE32-E72D297353CC}">
                <c16:uniqueId val="{00000001-C92E-4FA1-9AB8-F5BBA8319904}"/>
              </c:ext>
            </c:extLst>
          </c:dPt>
          <c:dPt>
            <c:idx val="1"/>
            <c:bubble3D val="0"/>
            <c:spPr>
              <a:solidFill>
                <a:schemeClr val="accent2"/>
              </a:solidFill>
              <a:ln>
                <a:solidFill>
                  <a:schemeClr val="accent1"/>
                </a:solidFill>
              </a:ln>
              <a:effectLst/>
            </c:spPr>
            <c:extLst>
              <c:ext xmlns:c16="http://schemas.microsoft.com/office/drawing/2014/chart" uri="{C3380CC4-5D6E-409C-BE32-E72D297353CC}">
                <c16:uniqueId val="{00000003-C92E-4FA1-9AB8-F5BBA8319904}"/>
              </c:ext>
            </c:extLst>
          </c:dPt>
          <c:dPt>
            <c:idx val="2"/>
            <c:bubble3D val="0"/>
            <c:spPr>
              <a:solidFill>
                <a:schemeClr val="accent3"/>
              </a:solidFill>
              <a:ln>
                <a:solidFill>
                  <a:schemeClr val="accent1"/>
                </a:solidFill>
              </a:ln>
              <a:effectLst/>
            </c:spPr>
          </c:dPt>
          <c:dLbls>
            <c:dLbl>
              <c:idx val="0"/>
              <c:layout>
                <c:manualLayout>
                  <c:x val="0.14048556430446194"/>
                  <c:y val="-3.6401775079319902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92E-4FA1-9AB8-F5BBA8319904}"/>
                </c:ext>
              </c:extLst>
            </c:dLbl>
            <c:dLbl>
              <c:idx val="1"/>
              <c:layout>
                <c:manualLayout>
                  <c:x val="-0.14497849227179935"/>
                  <c:y val="0.1197477574339352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92E-4FA1-9AB8-F5BBA83199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Sheet2!$A$4:$A$7</c:f>
              <c:strCache>
                <c:ptCount val="3"/>
                <c:pt idx="0">
                  <c:v>Large</c:v>
                </c:pt>
                <c:pt idx="1">
                  <c:v>Medium</c:v>
                </c:pt>
                <c:pt idx="2">
                  <c:v>Small</c:v>
                </c:pt>
              </c:strCache>
            </c:strRef>
          </c:cat>
          <c:val>
            <c:numRef>
              <c:f>Sheet2!$B$4:$B$7</c:f>
              <c:numCache>
                <c:formatCode>0.00%</c:formatCode>
                <c:ptCount val="3"/>
                <c:pt idx="0">
                  <c:v>0.50666666666666671</c:v>
                </c:pt>
                <c:pt idx="1">
                  <c:v>0.26</c:v>
                </c:pt>
                <c:pt idx="2">
                  <c:v>0.23333333333333334</c:v>
                </c:pt>
              </c:numCache>
            </c:numRef>
          </c:val>
          <c:extLst>
            <c:ext xmlns:c16="http://schemas.microsoft.com/office/drawing/2014/chart" uri="{C3380CC4-5D6E-409C-BE32-E72D297353CC}">
              <c16:uniqueId val="{00000002-C92E-4FA1-9AB8-F5BBA831990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666666666666663"/>
          <c:y val="0.50780105189554003"/>
          <c:w val="0.33333333333333331"/>
          <c:h val="0.41927208423271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Salary Insights Dashboard.xlsx”..xlsx]Sheet2!PivotTable2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Av</a:t>
            </a:r>
            <a:r>
              <a:rPr lang="en-US" sz="1600" b="1" baseline="0">
                <a:latin typeface="Arial" panose="020B0604020202020204" pitchFamily="34" charset="0"/>
                <a:cs typeface="Arial" panose="020B0604020202020204" pitchFamily="34" charset="0"/>
              </a:rPr>
              <a:t>erage Salary by job title(USD)</a:t>
            </a:r>
            <a:endParaRPr lang="en-US" sz="1600" b="1">
              <a:latin typeface="Arial" panose="020B0604020202020204" pitchFamily="34" charset="0"/>
              <a:cs typeface="Arial" panose="020B0604020202020204" pitchFamily="34" charset="0"/>
            </a:endParaRPr>
          </a:p>
        </c:rich>
      </c:tx>
      <c:layout>
        <c:manualLayout>
          <c:xMode val="edge"/>
          <c:yMode val="edge"/>
          <c:x val="0.17723022335883229"/>
          <c:y val="6.19305434372902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Sheet2!$D$4</c:f>
              <c:strCache>
                <c:ptCount val="1"/>
                <c:pt idx="0">
                  <c:v>Total</c:v>
                </c:pt>
              </c:strCache>
            </c:strRef>
          </c:tx>
          <c:spPr>
            <a:solidFill>
              <a:schemeClr val="accent1"/>
            </a:solidFill>
            <a:ln>
              <a:noFill/>
            </a:ln>
            <a:effectLst/>
          </c:spPr>
          <c:invertIfNegative val="0"/>
          <c:cat>
            <c:strRef>
              <c:f>Sheet2!$C$5:$C$15</c:f>
              <c:strCache>
                <c:ptCount val="10"/>
                <c:pt idx="0">
                  <c:v>Financial Data Analyst</c:v>
                </c:pt>
                <c:pt idx="1">
                  <c:v>Principal Data Engineer</c:v>
                </c:pt>
                <c:pt idx="2">
                  <c:v>Applied Machine Learning Scientist</c:v>
                </c:pt>
                <c:pt idx="3">
                  <c:v>Principal Data Scientist</c:v>
                </c:pt>
                <c:pt idx="4">
                  <c:v>Director of Data Science</c:v>
                </c:pt>
                <c:pt idx="5">
                  <c:v>Head of Data</c:v>
                </c:pt>
                <c:pt idx="6">
                  <c:v>Principal Data Analyst</c:v>
                </c:pt>
                <c:pt idx="7">
                  <c:v>Machine Learning Scientist</c:v>
                </c:pt>
                <c:pt idx="8">
                  <c:v>Data Architect</c:v>
                </c:pt>
                <c:pt idx="9">
                  <c:v>Data Specialist</c:v>
                </c:pt>
              </c:strCache>
            </c:strRef>
          </c:cat>
          <c:val>
            <c:numRef>
              <c:f>Sheet2!$D$5:$D$15</c:f>
              <c:numCache>
                <c:formatCode>General</c:formatCode>
                <c:ptCount val="10"/>
                <c:pt idx="0">
                  <c:v>450000</c:v>
                </c:pt>
                <c:pt idx="1">
                  <c:v>328333.33333333331</c:v>
                </c:pt>
                <c:pt idx="2">
                  <c:v>230700</c:v>
                </c:pt>
                <c:pt idx="3">
                  <c:v>224003.83333333334</c:v>
                </c:pt>
                <c:pt idx="4">
                  <c:v>194756.5</c:v>
                </c:pt>
                <c:pt idx="5">
                  <c:v>189279.66666666666</c:v>
                </c:pt>
                <c:pt idx="6">
                  <c:v>170000</c:v>
                </c:pt>
                <c:pt idx="7">
                  <c:v>168400</c:v>
                </c:pt>
                <c:pt idx="8">
                  <c:v>166666.66666666666</c:v>
                </c:pt>
                <c:pt idx="9">
                  <c:v>165000</c:v>
                </c:pt>
              </c:numCache>
            </c:numRef>
          </c:val>
          <c:extLst>
            <c:ext xmlns:c16="http://schemas.microsoft.com/office/drawing/2014/chart" uri="{C3380CC4-5D6E-409C-BE32-E72D297353CC}">
              <c16:uniqueId val="{00000000-932C-4385-8D59-9E6513EDDF9D}"/>
            </c:ext>
          </c:extLst>
        </c:ser>
        <c:dLbls>
          <c:showLegendKey val="0"/>
          <c:showVal val="0"/>
          <c:showCatName val="0"/>
          <c:showSerName val="0"/>
          <c:showPercent val="0"/>
          <c:showBubbleSize val="0"/>
        </c:dLbls>
        <c:gapWidth val="219"/>
        <c:axId val="33149983"/>
        <c:axId val="33147583"/>
      </c:barChart>
      <c:catAx>
        <c:axId val="3314998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7583"/>
        <c:crosses val="autoZero"/>
        <c:auto val="1"/>
        <c:lblAlgn val="ctr"/>
        <c:lblOffset val="100"/>
        <c:noMultiLvlLbl val="0"/>
      </c:catAx>
      <c:valAx>
        <c:axId val="33147583"/>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Salary Insights Dashboard.xlsx”..xlsx]Sheet2!PivotTable3</c:name>
    <c:fmtId val="3"/>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6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Counts by experience and Employment type</a:t>
            </a:r>
          </a:p>
        </c:rich>
      </c:tx>
      <c:layout>
        <c:manualLayout>
          <c:xMode val="edge"/>
          <c:yMode val="edge"/>
          <c:x val="0.13570146647480155"/>
          <c:y val="8.9371376190698307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30303102141679"/>
          <c:y val="0.40967677335787567"/>
          <c:w val="0.74346233761038394"/>
          <c:h val="0.30627478856809565"/>
        </c:manualLayout>
      </c:layout>
      <c:barChart>
        <c:barDir val="col"/>
        <c:grouping val="stacked"/>
        <c:varyColors val="0"/>
        <c:ser>
          <c:idx val="0"/>
          <c:order val="0"/>
          <c:tx>
            <c:strRef>
              <c:f>Sheet2!$H$4</c:f>
              <c:strCache>
                <c:ptCount val="1"/>
                <c:pt idx="0">
                  <c:v>Total</c:v>
                </c:pt>
              </c:strCache>
            </c:strRef>
          </c:tx>
          <c:spPr>
            <a:solidFill>
              <a:schemeClr val="accent1"/>
            </a:solidFill>
            <a:ln>
              <a:noFill/>
            </a:ln>
            <a:effectLst/>
          </c:spPr>
          <c:invertIfNegative val="0"/>
          <c:cat>
            <c:strRef>
              <c:f>Sheet2!$G$5:$G$9</c:f>
              <c:strCache>
                <c:ptCount val="4"/>
                <c:pt idx="0">
                  <c:v>Entrylevel</c:v>
                </c:pt>
                <c:pt idx="1">
                  <c:v>Expert</c:v>
                </c:pt>
                <c:pt idx="2">
                  <c:v>Intermediate</c:v>
                </c:pt>
                <c:pt idx="3">
                  <c:v>Senior</c:v>
                </c:pt>
              </c:strCache>
            </c:strRef>
          </c:cat>
          <c:val>
            <c:numRef>
              <c:f>Sheet2!$H$5:$H$9</c:f>
              <c:numCache>
                <c:formatCode>General</c:formatCode>
                <c:ptCount val="4"/>
                <c:pt idx="0">
                  <c:v>67</c:v>
                </c:pt>
                <c:pt idx="1">
                  <c:v>13</c:v>
                </c:pt>
                <c:pt idx="2">
                  <c:v>126</c:v>
                </c:pt>
                <c:pt idx="3">
                  <c:v>94</c:v>
                </c:pt>
              </c:numCache>
            </c:numRef>
          </c:val>
          <c:extLst>
            <c:ext xmlns:c16="http://schemas.microsoft.com/office/drawing/2014/chart" uri="{C3380CC4-5D6E-409C-BE32-E72D297353CC}">
              <c16:uniqueId val="{00000000-2159-472E-98A8-4E9C614CDF31}"/>
            </c:ext>
          </c:extLst>
        </c:ser>
        <c:dLbls>
          <c:showLegendKey val="0"/>
          <c:showVal val="0"/>
          <c:showCatName val="0"/>
          <c:showSerName val="0"/>
          <c:showPercent val="0"/>
          <c:showBubbleSize val="0"/>
        </c:dLbls>
        <c:gapWidth val="219"/>
        <c:overlap val="100"/>
        <c:axId val="87653807"/>
        <c:axId val="87649967"/>
      </c:barChart>
      <c:catAx>
        <c:axId val="8765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49967"/>
        <c:crosses val="autoZero"/>
        <c:auto val="1"/>
        <c:lblAlgn val="ctr"/>
        <c:lblOffset val="100"/>
        <c:noMultiLvlLbl val="0"/>
      </c:catAx>
      <c:valAx>
        <c:axId val="8764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5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Salary Insights Dashboard.xlsx”..xlsx]Sheet2!PivotTable4</c:name>
    <c:fmtId val="2"/>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6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Average salary vs experience</a:t>
            </a:r>
          </a:p>
        </c:rich>
      </c:tx>
      <c:layout>
        <c:manualLayout>
          <c:xMode val="edge"/>
          <c:yMode val="edge"/>
          <c:x val="0.2030282656565921"/>
          <c:y val="8.8920880788298504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98222807886199"/>
          <c:y val="0.23563090251487265"/>
          <c:w val="0.63212916240288552"/>
          <c:h val="0.36844821556503993"/>
        </c:manualLayout>
      </c:layout>
      <c:lineChart>
        <c:grouping val="standard"/>
        <c:varyColors val="0"/>
        <c:ser>
          <c:idx val="0"/>
          <c:order val="0"/>
          <c:tx>
            <c:strRef>
              <c:f>Sheet2!$G$25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Sheet2!$F$26:$F$30</c:f>
              <c:strCache>
                <c:ptCount val="4"/>
                <c:pt idx="0">
                  <c:v>Entrylevel</c:v>
                </c:pt>
                <c:pt idx="1">
                  <c:v>Expert</c:v>
                </c:pt>
                <c:pt idx="2">
                  <c:v>Intermediate</c:v>
                </c:pt>
                <c:pt idx="3">
                  <c:v>Senior</c:v>
                </c:pt>
              </c:strCache>
            </c:strRef>
          </c:cat>
          <c:val>
            <c:numRef>
              <c:f>Sheet2!$G$26:$G$30</c:f>
              <c:numCache>
                <c:formatCode>General</c:formatCode>
                <c:ptCount val="4"/>
                <c:pt idx="0">
                  <c:v>4050720</c:v>
                </c:pt>
                <c:pt idx="1">
                  <c:v>2866113</c:v>
                </c:pt>
                <c:pt idx="2">
                  <c:v>10984510</c:v>
                </c:pt>
                <c:pt idx="3">
                  <c:v>12039046</c:v>
                </c:pt>
              </c:numCache>
            </c:numRef>
          </c:val>
          <c:smooth val="0"/>
          <c:extLst>
            <c:ext xmlns:c16="http://schemas.microsoft.com/office/drawing/2014/chart" uri="{C3380CC4-5D6E-409C-BE32-E72D297353CC}">
              <c16:uniqueId val="{00000000-663C-4881-A094-E0F92A8D6A13}"/>
            </c:ext>
          </c:extLst>
        </c:ser>
        <c:dLbls>
          <c:dLblPos val="t"/>
          <c:showLegendKey val="0"/>
          <c:showVal val="1"/>
          <c:showCatName val="0"/>
          <c:showSerName val="0"/>
          <c:showPercent val="0"/>
          <c:showBubbleSize val="0"/>
        </c:dLbls>
        <c:marker val="1"/>
        <c:smooth val="0"/>
        <c:axId val="162303023"/>
        <c:axId val="162303503"/>
      </c:lineChart>
      <c:catAx>
        <c:axId val="162303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03503"/>
        <c:crosses val="autoZero"/>
        <c:auto val="1"/>
        <c:lblAlgn val="ctr"/>
        <c:lblOffset val="100"/>
        <c:noMultiLvlLbl val="0"/>
      </c:catAx>
      <c:valAx>
        <c:axId val="1623035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0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132443</xdr:rowOff>
    </xdr:from>
    <xdr:to>
      <xdr:col>3</xdr:col>
      <xdr:colOff>472440</xdr:colOff>
      <xdr:row>38</xdr:row>
      <xdr:rowOff>71483</xdr:rowOff>
    </xdr:to>
    <xdr:graphicFrame macro="">
      <xdr:nvGraphicFramePr>
        <xdr:cNvPr id="2" name="Chart 1">
          <a:extLst>
            <a:ext uri="{FF2B5EF4-FFF2-40B4-BE49-F238E27FC236}">
              <a16:creationId xmlns:a16="http://schemas.microsoft.com/office/drawing/2014/main" id="{B4A7C289-F3CC-E2E9-B80E-887B98A4B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144780</xdr:rowOff>
    </xdr:from>
    <xdr:to>
      <xdr:col>2</xdr:col>
      <xdr:colOff>1424940</xdr:colOff>
      <xdr:row>17</xdr:row>
      <xdr:rowOff>38100</xdr:rowOff>
    </xdr:to>
    <xdr:graphicFrame macro="">
      <xdr:nvGraphicFramePr>
        <xdr:cNvPr id="3" name="Chart 2">
          <a:extLst>
            <a:ext uri="{FF2B5EF4-FFF2-40B4-BE49-F238E27FC236}">
              <a16:creationId xmlns:a16="http://schemas.microsoft.com/office/drawing/2014/main" id="{5646FB99-4624-B26E-7418-51D80F8F2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60844</xdr:colOff>
      <xdr:row>17</xdr:row>
      <xdr:rowOff>97124</xdr:rowOff>
    </xdr:from>
    <xdr:to>
      <xdr:col>2</xdr:col>
      <xdr:colOff>2065625</xdr:colOff>
      <xdr:row>31</xdr:row>
      <xdr:rowOff>97125</xdr:rowOff>
    </xdr:to>
    <xdr:graphicFrame macro="">
      <xdr:nvGraphicFramePr>
        <xdr:cNvPr id="4" name="Chart 3">
          <a:extLst>
            <a:ext uri="{FF2B5EF4-FFF2-40B4-BE49-F238E27FC236}">
              <a16:creationId xmlns:a16="http://schemas.microsoft.com/office/drawing/2014/main" id="{49FCF8AA-AD78-8CB6-08A1-84B2A4C72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152406</xdr:colOff>
      <xdr:row>19</xdr:row>
      <xdr:rowOff>49530</xdr:rowOff>
    </xdr:from>
    <xdr:to>
      <xdr:col>9</xdr:col>
      <xdr:colOff>167646</xdr:colOff>
      <xdr:row>35</xdr:row>
      <xdr:rowOff>110490</xdr:rowOff>
    </xdr:to>
    <xdr:graphicFrame macro="">
      <xdr:nvGraphicFramePr>
        <xdr:cNvPr id="5" name="Chart 4">
          <a:extLst>
            <a:ext uri="{FF2B5EF4-FFF2-40B4-BE49-F238E27FC236}">
              <a16:creationId xmlns:a16="http://schemas.microsoft.com/office/drawing/2014/main" id="{F56EC144-BA5A-B338-9202-8857A871A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1400266</xdr:colOff>
      <xdr:row>7</xdr:row>
      <xdr:rowOff>137160</xdr:rowOff>
    </xdr:from>
    <xdr:to>
      <xdr:col>3</xdr:col>
      <xdr:colOff>1278709</xdr:colOff>
      <xdr:row>20</xdr:row>
      <xdr:rowOff>134892</xdr:rowOff>
    </xdr:to>
    <mc:AlternateContent xmlns:mc="http://schemas.openxmlformats.org/markup-compatibility/2006">
      <mc:Choice xmlns:a14="http://schemas.microsoft.com/office/drawing/2010/main" Requires="a14">
        <xdr:graphicFrame macro="">
          <xdr:nvGraphicFramePr>
            <xdr:cNvPr id="6" name="work_year">
              <a:extLst>
                <a:ext uri="{FF2B5EF4-FFF2-40B4-BE49-F238E27FC236}">
                  <a16:creationId xmlns:a16="http://schemas.microsoft.com/office/drawing/2014/main" id="{7752F576-4940-85F9-2F79-CFE6AAFDDBE7}"/>
                </a:ext>
              </a:extLst>
            </xdr:cNvPr>
            <xdr:cNvGraphicFramePr/>
          </xdr:nvGraphicFramePr>
          <xdr:xfrm>
            <a:off x="0" y="0"/>
            <a:ext cx="0" cy="0"/>
          </xdr:xfrm>
          <a:graphic>
            <a:graphicData uri="http://schemas.microsoft.com/office/drawing/2010/slicer">
              <sle:slicer xmlns:sle="http://schemas.microsoft.com/office/drawing/2010/slicer" name="work_year"/>
            </a:graphicData>
          </a:graphic>
        </xdr:graphicFrame>
      </mc:Choice>
      <mc:Fallback>
        <xdr:sp macro="" textlink="">
          <xdr:nvSpPr>
            <xdr:cNvPr id="0" name=""/>
            <xdr:cNvSpPr>
              <a:spLocks noTextEdit="1"/>
            </xdr:cNvSpPr>
          </xdr:nvSpPr>
          <xdr:spPr>
            <a:xfrm>
              <a:off x="3105695" y="13436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1880326</xdr:colOff>
      <xdr:row>10</xdr:row>
      <xdr:rowOff>127363</xdr:rowOff>
    </xdr:from>
    <xdr:to>
      <xdr:col>4</xdr:col>
      <xdr:colOff>325484</xdr:colOff>
      <xdr:row>23</xdr:row>
      <xdr:rowOff>125095</xdr:rowOff>
    </xdr:to>
    <mc:AlternateContent xmlns:mc="http://schemas.openxmlformats.org/markup-compatibility/2006">
      <mc:Choice xmlns:a14="http://schemas.microsoft.com/office/drawing/2010/main" Requires="a14">
        <xdr:graphicFrame macro="">
          <xdr:nvGraphicFramePr>
            <xdr:cNvPr id="7" name="experience_level">
              <a:extLst>
                <a:ext uri="{FF2B5EF4-FFF2-40B4-BE49-F238E27FC236}">
                  <a16:creationId xmlns:a16="http://schemas.microsoft.com/office/drawing/2014/main" id="{A33D2336-0D92-F71C-865C-3DCBBEA3E2DE}"/>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dr:sp macro="" textlink="">
          <xdr:nvSpPr>
            <xdr:cNvPr id="0" name=""/>
            <xdr:cNvSpPr>
              <a:spLocks noTextEdit="1"/>
            </xdr:cNvSpPr>
          </xdr:nvSpPr>
          <xdr:spPr>
            <a:xfrm>
              <a:off x="3585755" y="1850934"/>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292100</xdr:colOff>
      <xdr:row>13</xdr:row>
      <xdr:rowOff>117566</xdr:rowOff>
    </xdr:from>
    <xdr:to>
      <xdr:col>5</xdr:col>
      <xdr:colOff>79829</xdr:colOff>
      <xdr:row>26</xdr:row>
      <xdr:rowOff>115298</xdr:rowOff>
    </xdr:to>
    <mc:AlternateContent xmlns:mc="http://schemas.openxmlformats.org/markup-compatibility/2006">
      <mc:Choice xmlns:a14="http://schemas.microsoft.com/office/drawing/2010/main" Requires="a14">
        <xdr:graphicFrame macro="">
          <xdr:nvGraphicFramePr>
            <xdr:cNvPr id="8" name="employment_type">
              <a:extLst>
                <a:ext uri="{FF2B5EF4-FFF2-40B4-BE49-F238E27FC236}">
                  <a16:creationId xmlns:a16="http://schemas.microsoft.com/office/drawing/2014/main" id="{8A36DC17-6B9A-4CA3-1424-3617F3D936B4}"/>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dr:sp macro="" textlink="">
          <xdr:nvSpPr>
            <xdr:cNvPr id="0" name=""/>
            <xdr:cNvSpPr>
              <a:spLocks noTextEdit="1"/>
            </xdr:cNvSpPr>
          </xdr:nvSpPr>
          <xdr:spPr>
            <a:xfrm>
              <a:off x="3947886" y="2358209"/>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772160</xdr:colOff>
      <xdr:row>16</xdr:row>
      <xdr:rowOff>107769</xdr:rowOff>
    </xdr:from>
    <xdr:to>
      <xdr:col>5</xdr:col>
      <xdr:colOff>559889</xdr:colOff>
      <xdr:row>29</xdr:row>
      <xdr:rowOff>105501</xdr:rowOff>
    </xdr:to>
    <mc:AlternateContent xmlns:mc="http://schemas.openxmlformats.org/markup-compatibility/2006">
      <mc:Choice xmlns:a14="http://schemas.microsoft.com/office/drawing/2010/main" Requires="a14">
        <xdr:graphicFrame macro="">
          <xdr:nvGraphicFramePr>
            <xdr:cNvPr id="9" name="company_location">
              <a:extLst>
                <a:ext uri="{FF2B5EF4-FFF2-40B4-BE49-F238E27FC236}">
                  <a16:creationId xmlns:a16="http://schemas.microsoft.com/office/drawing/2014/main" id="{CF2E963A-FD0C-D41F-629A-34A828759CF9}"/>
                </a:ext>
              </a:extLst>
            </xdr:cNvPr>
            <xdr:cNvGraphicFramePr/>
          </xdr:nvGraphicFramePr>
          <xdr:xfrm>
            <a:off x="0" y="0"/>
            <a:ext cx="0" cy="0"/>
          </xdr:xfrm>
          <a:graphic>
            <a:graphicData uri="http://schemas.microsoft.com/office/drawing/2010/slicer">
              <sle:slicer xmlns:sle="http://schemas.microsoft.com/office/drawing/2010/slicer" name="company_location"/>
            </a:graphicData>
          </a:graphic>
        </xdr:graphicFrame>
      </mc:Choice>
      <mc:Fallback>
        <xdr:sp macro="" textlink="">
          <xdr:nvSpPr>
            <xdr:cNvPr id="0" name=""/>
            <xdr:cNvSpPr>
              <a:spLocks noTextEdit="1"/>
            </xdr:cNvSpPr>
          </xdr:nvSpPr>
          <xdr:spPr>
            <a:xfrm>
              <a:off x="4427946" y="2865483"/>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862148</xdr:colOff>
      <xdr:row>18</xdr:row>
      <xdr:rowOff>134258</xdr:rowOff>
    </xdr:from>
    <xdr:to>
      <xdr:col>5</xdr:col>
      <xdr:colOff>649877</xdr:colOff>
      <xdr:row>31</xdr:row>
      <xdr:rowOff>131991</xdr:rowOff>
    </xdr:to>
    <mc:AlternateContent xmlns:mc="http://schemas.openxmlformats.org/markup-compatibility/2006">
      <mc:Choice xmlns:a14="http://schemas.microsoft.com/office/drawing/2010/main" Requires="a14">
        <xdr:graphicFrame macro="">
          <xdr:nvGraphicFramePr>
            <xdr:cNvPr id="10" name="remote_label">
              <a:extLst>
                <a:ext uri="{FF2B5EF4-FFF2-40B4-BE49-F238E27FC236}">
                  <a16:creationId xmlns:a16="http://schemas.microsoft.com/office/drawing/2014/main" id="{60787F22-8EEA-9E46-59FC-BE2E2AC3B364}"/>
                </a:ext>
              </a:extLst>
            </xdr:cNvPr>
            <xdr:cNvGraphicFramePr/>
          </xdr:nvGraphicFramePr>
          <xdr:xfrm>
            <a:off x="0" y="0"/>
            <a:ext cx="0" cy="0"/>
          </xdr:xfrm>
          <a:graphic>
            <a:graphicData uri="http://schemas.microsoft.com/office/drawing/2010/slicer">
              <sle:slicer xmlns:sle="http://schemas.microsoft.com/office/drawing/2010/slicer" name="remote_label"/>
            </a:graphicData>
          </a:graphic>
        </xdr:graphicFrame>
      </mc:Choice>
      <mc:Fallback>
        <xdr:sp macro="" textlink="">
          <xdr:nvSpPr>
            <xdr:cNvPr id="0" name=""/>
            <xdr:cNvSpPr>
              <a:spLocks noTextEdit="1"/>
            </xdr:cNvSpPr>
          </xdr:nvSpPr>
          <xdr:spPr>
            <a:xfrm>
              <a:off x="4517934" y="3236687"/>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112815</xdr:colOff>
      <xdr:row>10</xdr:row>
      <xdr:rowOff>57893</xdr:rowOff>
    </xdr:from>
    <xdr:to>
      <xdr:col>4</xdr:col>
      <xdr:colOff>417615</xdr:colOff>
      <xdr:row>21</xdr:row>
      <xdr:rowOff>152400</xdr:rowOff>
    </xdr:to>
    <xdr:graphicFrame macro="">
      <xdr:nvGraphicFramePr>
        <xdr:cNvPr id="2" name="Chart 1">
          <a:extLst>
            <a:ext uri="{FF2B5EF4-FFF2-40B4-BE49-F238E27FC236}">
              <a16:creationId xmlns:a16="http://schemas.microsoft.com/office/drawing/2014/main" id="{99EEA4BA-B92F-43EE-BB57-1C14F0242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221673</xdr:colOff>
      <xdr:row>10</xdr:row>
      <xdr:rowOff>55418</xdr:rowOff>
    </xdr:from>
    <xdr:to>
      <xdr:col>19</xdr:col>
      <xdr:colOff>110836</xdr:colOff>
      <xdr:row>16</xdr:row>
      <xdr:rowOff>4848</xdr:rowOff>
    </xdr:to>
    <mc:AlternateContent xmlns:mc="http://schemas.openxmlformats.org/markup-compatibility/2006">
      <mc:Choice xmlns:a14="http://schemas.microsoft.com/office/drawing/2010/main" Requires="a14">
        <xdr:graphicFrame macro="">
          <xdr:nvGraphicFramePr>
            <xdr:cNvPr id="3" name="remote_label 1">
              <a:extLst>
                <a:ext uri="{FF2B5EF4-FFF2-40B4-BE49-F238E27FC236}">
                  <a16:creationId xmlns:a16="http://schemas.microsoft.com/office/drawing/2014/main" id="{64F469D7-C528-41B3-9D07-3161A964B62F}"/>
                </a:ext>
              </a:extLst>
            </xdr:cNvPr>
            <xdr:cNvGraphicFramePr/>
          </xdr:nvGraphicFramePr>
          <xdr:xfrm>
            <a:off x="0" y="0"/>
            <a:ext cx="0" cy="0"/>
          </xdr:xfrm>
          <a:graphic>
            <a:graphicData uri="http://schemas.microsoft.com/office/drawing/2010/slicer">
              <sle:slicer xmlns:sle="http://schemas.microsoft.com/office/drawing/2010/slicer" name="remote_label 1"/>
            </a:graphicData>
          </a:graphic>
        </xdr:graphicFrame>
      </mc:Choice>
      <mc:Fallback>
        <xdr:sp macro="" textlink="">
          <xdr:nvSpPr>
            <xdr:cNvPr id="0" name=""/>
            <xdr:cNvSpPr>
              <a:spLocks noTextEdit="1"/>
            </xdr:cNvSpPr>
          </xdr:nvSpPr>
          <xdr:spPr>
            <a:xfrm>
              <a:off x="9975273" y="1797132"/>
              <a:ext cx="1717963" cy="994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569422</xdr:colOff>
      <xdr:row>10</xdr:row>
      <xdr:rowOff>41563</xdr:rowOff>
    </xdr:from>
    <xdr:to>
      <xdr:col>7</xdr:col>
      <xdr:colOff>569422</xdr:colOff>
      <xdr:row>15</xdr:row>
      <xdr:rowOff>171103</xdr:rowOff>
    </xdr:to>
    <mc:AlternateContent xmlns:mc="http://schemas.openxmlformats.org/markup-compatibility/2006">
      <mc:Choice xmlns:a14="http://schemas.microsoft.com/office/drawing/2010/main" Requires="a14">
        <xdr:graphicFrame macro="">
          <xdr:nvGraphicFramePr>
            <xdr:cNvPr id="4" name="employment_type 1">
              <a:extLst>
                <a:ext uri="{FF2B5EF4-FFF2-40B4-BE49-F238E27FC236}">
                  <a16:creationId xmlns:a16="http://schemas.microsoft.com/office/drawing/2014/main" id="{33DA91A7-8125-42B7-AA41-1F4A815948DE}"/>
                </a:ext>
              </a:extLst>
            </xdr:cNvPr>
            <xdr:cNvGraphicFramePr/>
          </xdr:nvGraphicFramePr>
          <xdr:xfrm>
            <a:off x="0" y="0"/>
            <a:ext cx="0" cy="0"/>
          </xdr:xfrm>
          <a:graphic>
            <a:graphicData uri="http://schemas.microsoft.com/office/drawing/2010/slicer">
              <sle:slicer xmlns:sle="http://schemas.microsoft.com/office/drawing/2010/slicer" name="employment_type 1"/>
            </a:graphicData>
          </a:graphic>
        </xdr:graphicFrame>
      </mc:Choice>
      <mc:Fallback>
        <xdr:sp macro="" textlink="">
          <xdr:nvSpPr>
            <xdr:cNvPr id="0" name=""/>
            <xdr:cNvSpPr>
              <a:spLocks noTextEdit="1"/>
            </xdr:cNvSpPr>
          </xdr:nvSpPr>
          <xdr:spPr>
            <a:xfrm>
              <a:off x="3007822" y="1783277"/>
              <a:ext cx="1828800" cy="1000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155863</xdr:colOff>
      <xdr:row>10</xdr:row>
      <xdr:rowOff>69272</xdr:rowOff>
    </xdr:from>
    <xdr:to>
      <xdr:col>16</xdr:col>
      <xdr:colOff>235527</xdr:colOff>
      <xdr:row>16</xdr:row>
      <xdr:rowOff>33943</xdr:rowOff>
    </xdr:to>
    <mc:AlternateContent xmlns:mc="http://schemas.openxmlformats.org/markup-compatibility/2006">
      <mc:Choice xmlns:a14="http://schemas.microsoft.com/office/drawing/2010/main" Requires="a14">
        <xdr:graphicFrame macro="">
          <xdr:nvGraphicFramePr>
            <xdr:cNvPr id="5" name="company_location 1">
              <a:extLst>
                <a:ext uri="{FF2B5EF4-FFF2-40B4-BE49-F238E27FC236}">
                  <a16:creationId xmlns:a16="http://schemas.microsoft.com/office/drawing/2014/main" id="{8F05F3BE-B843-422F-8B7C-4FF2F7838FE4}"/>
                </a:ext>
              </a:extLst>
            </xdr:cNvPr>
            <xdr:cNvGraphicFramePr/>
          </xdr:nvGraphicFramePr>
          <xdr:xfrm>
            <a:off x="0" y="0"/>
            <a:ext cx="0" cy="0"/>
          </xdr:xfrm>
          <a:graphic>
            <a:graphicData uri="http://schemas.microsoft.com/office/drawing/2010/slicer">
              <sle:slicer xmlns:sle="http://schemas.microsoft.com/office/drawing/2010/slicer" name="company_location 1"/>
            </a:graphicData>
          </a:graphic>
        </xdr:graphicFrame>
      </mc:Choice>
      <mc:Fallback>
        <xdr:sp macro="" textlink="">
          <xdr:nvSpPr>
            <xdr:cNvPr id="0" name=""/>
            <xdr:cNvSpPr>
              <a:spLocks noTextEdit="1"/>
            </xdr:cNvSpPr>
          </xdr:nvSpPr>
          <xdr:spPr>
            <a:xfrm>
              <a:off x="8080663" y="1810986"/>
              <a:ext cx="1908464" cy="10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594360</xdr:colOff>
      <xdr:row>10</xdr:row>
      <xdr:rowOff>41565</xdr:rowOff>
    </xdr:from>
    <xdr:to>
      <xdr:col>10</xdr:col>
      <xdr:colOff>594360</xdr:colOff>
      <xdr:row>15</xdr:row>
      <xdr:rowOff>171104</xdr:rowOff>
    </xdr:to>
    <mc:AlternateContent xmlns:mc="http://schemas.openxmlformats.org/markup-compatibility/2006">
      <mc:Choice xmlns:a14="http://schemas.microsoft.com/office/drawing/2010/main" Requires="a14">
        <xdr:graphicFrame macro="">
          <xdr:nvGraphicFramePr>
            <xdr:cNvPr id="6" name="experience_level 1">
              <a:extLst>
                <a:ext uri="{FF2B5EF4-FFF2-40B4-BE49-F238E27FC236}">
                  <a16:creationId xmlns:a16="http://schemas.microsoft.com/office/drawing/2014/main" id="{974D9B19-90F5-49F4-8E47-DAECBE856316}"/>
                </a:ext>
              </a:extLst>
            </xdr:cNvPr>
            <xdr:cNvGraphicFramePr/>
          </xdr:nvGraphicFramePr>
          <xdr:xfrm>
            <a:off x="0" y="0"/>
            <a:ext cx="0" cy="0"/>
          </xdr:xfrm>
          <a:graphic>
            <a:graphicData uri="http://schemas.microsoft.com/office/drawing/2010/slicer">
              <sle:slicer xmlns:sle="http://schemas.microsoft.com/office/drawing/2010/slicer" name="experience_level 1"/>
            </a:graphicData>
          </a:graphic>
        </xdr:graphicFrame>
      </mc:Choice>
      <mc:Fallback>
        <xdr:sp macro="" textlink="">
          <xdr:nvSpPr>
            <xdr:cNvPr id="0" name=""/>
            <xdr:cNvSpPr>
              <a:spLocks noTextEdit="1"/>
            </xdr:cNvSpPr>
          </xdr:nvSpPr>
          <xdr:spPr>
            <a:xfrm>
              <a:off x="4861560" y="1783279"/>
              <a:ext cx="1828800" cy="10003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591589</xdr:colOff>
      <xdr:row>10</xdr:row>
      <xdr:rowOff>55419</xdr:rowOff>
    </xdr:from>
    <xdr:to>
      <xdr:col>13</xdr:col>
      <xdr:colOff>149629</xdr:colOff>
      <xdr:row>16</xdr:row>
      <xdr:rowOff>27710</xdr:rowOff>
    </xdr:to>
    <mc:AlternateContent xmlns:mc="http://schemas.openxmlformats.org/markup-compatibility/2006">
      <mc:Choice xmlns:a14="http://schemas.microsoft.com/office/drawing/2010/main" Requires="a14">
        <xdr:graphicFrame macro="">
          <xdr:nvGraphicFramePr>
            <xdr:cNvPr id="7" name="work_year 1">
              <a:extLst>
                <a:ext uri="{FF2B5EF4-FFF2-40B4-BE49-F238E27FC236}">
                  <a16:creationId xmlns:a16="http://schemas.microsoft.com/office/drawing/2014/main" id="{F25CC79F-4414-4C46-8546-EF3CE9FFDA5C}"/>
                </a:ext>
              </a:extLst>
            </xdr:cNvPr>
            <xdr:cNvGraphicFramePr/>
          </xdr:nvGraphicFramePr>
          <xdr:xfrm>
            <a:off x="0" y="0"/>
            <a:ext cx="0" cy="0"/>
          </xdr:xfrm>
          <a:graphic>
            <a:graphicData uri="http://schemas.microsoft.com/office/drawing/2010/slicer">
              <sle:slicer xmlns:sle="http://schemas.microsoft.com/office/drawing/2010/slicer" name="work_year 1"/>
            </a:graphicData>
          </a:graphic>
        </xdr:graphicFrame>
      </mc:Choice>
      <mc:Fallback>
        <xdr:sp macro="" textlink="">
          <xdr:nvSpPr>
            <xdr:cNvPr id="0" name=""/>
            <xdr:cNvSpPr>
              <a:spLocks noTextEdit="1"/>
            </xdr:cNvSpPr>
          </xdr:nvSpPr>
          <xdr:spPr>
            <a:xfrm>
              <a:off x="6687589" y="1797133"/>
              <a:ext cx="1386840" cy="10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554537</xdr:colOff>
      <xdr:row>16</xdr:row>
      <xdr:rowOff>149754</xdr:rowOff>
    </xdr:from>
    <xdr:to>
      <xdr:col>14</xdr:col>
      <xdr:colOff>1794</xdr:colOff>
      <xdr:row>31</xdr:row>
      <xdr:rowOff>709</xdr:rowOff>
    </xdr:to>
    <xdr:graphicFrame macro="">
      <xdr:nvGraphicFramePr>
        <xdr:cNvPr id="8" name="Chart 7">
          <a:extLst>
            <a:ext uri="{FF2B5EF4-FFF2-40B4-BE49-F238E27FC236}">
              <a16:creationId xmlns:a16="http://schemas.microsoft.com/office/drawing/2014/main" id="{4B5DCCC9-CBFF-4852-B0C0-822E00D29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96982</xdr:rowOff>
    </xdr:from>
    <xdr:to>
      <xdr:col>6</xdr:col>
      <xdr:colOff>53340</xdr:colOff>
      <xdr:row>43</xdr:row>
      <xdr:rowOff>83127</xdr:rowOff>
    </xdr:to>
    <xdr:graphicFrame macro="">
      <xdr:nvGraphicFramePr>
        <xdr:cNvPr id="9" name="Chart 8">
          <a:extLst>
            <a:ext uri="{FF2B5EF4-FFF2-40B4-BE49-F238E27FC236}">
              <a16:creationId xmlns:a16="http://schemas.microsoft.com/office/drawing/2014/main" id="{B36AF0D0-86F2-489D-B5AF-DFFA78CCE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401782</xdr:colOff>
      <xdr:row>31</xdr:row>
      <xdr:rowOff>9551</xdr:rowOff>
    </xdr:from>
    <xdr:to>
      <xdr:col>20</xdr:col>
      <xdr:colOff>325099</xdr:colOff>
      <xdr:row>43</xdr:row>
      <xdr:rowOff>83127</xdr:rowOff>
    </xdr:to>
    <xdr:graphicFrame macro="">
      <xdr:nvGraphicFramePr>
        <xdr:cNvPr id="10" name="Chart 9">
          <a:extLst>
            <a:ext uri="{FF2B5EF4-FFF2-40B4-BE49-F238E27FC236}">
              <a16:creationId xmlns:a16="http://schemas.microsoft.com/office/drawing/2014/main" id="{C2B5AD1F-CA5B-4906-8000-F9CF88EF6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143496</xdr:colOff>
      <xdr:row>22</xdr:row>
      <xdr:rowOff>88810</xdr:rowOff>
    </xdr:from>
    <xdr:to>
      <xdr:col>4</xdr:col>
      <xdr:colOff>387928</xdr:colOff>
      <xdr:row>30</xdr:row>
      <xdr:rowOff>137658</xdr:rowOff>
    </xdr:to>
    <xdr:sp macro="" textlink="">
      <xdr:nvSpPr>
        <xdr:cNvPr id="11" name="TextBox 10">
          <a:extLst>
            <a:ext uri="{FF2B5EF4-FFF2-40B4-BE49-F238E27FC236}">
              <a16:creationId xmlns:a16="http://schemas.microsoft.com/office/drawing/2014/main" id="{6C726BDA-0108-1417-2363-BAFB52F4ADDE}"/>
            </a:ext>
          </a:extLst>
        </xdr:cNvPr>
        <xdr:cNvSpPr txBox="1"/>
      </xdr:nvSpPr>
      <xdr:spPr>
        <a:xfrm>
          <a:off x="143496" y="4051210"/>
          <a:ext cx="2682832" cy="14897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002060"/>
              </a:solidFill>
              <a:latin typeface="Arial" panose="020B0604020202020204" pitchFamily="34" charset="0"/>
              <a:cs typeface="Arial" panose="020B0604020202020204" pitchFamily="34" charset="0"/>
            </a:rPr>
            <a:t>Company size:</a:t>
          </a:r>
          <a:r>
            <a:rPr lang="en-IN" sz="1600">
              <a:solidFill>
                <a:srgbClr val="002060"/>
              </a:solidFill>
              <a:latin typeface="Arial" panose="020B0604020202020204" pitchFamily="34" charset="0"/>
              <a:cs typeface="Arial" panose="020B0604020202020204" pitchFamily="34" charset="0"/>
            </a:rPr>
            <a:t> Large companies dominate Data Science hiring, though slicers show regional differences</a:t>
          </a:r>
        </a:p>
      </xdr:txBody>
    </xdr:sp>
    <xdr:clientData/>
  </xdr:twoCellAnchor>
  <xdr:twoCellAnchor>
    <xdr:from>
      <xdr:col>14</xdr:col>
      <xdr:colOff>221673</xdr:colOff>
      <xdr:row>17</xdr:row>
      <xdr:rowOff>69272</xdr:rowOff>
    </xdr:from>
    <xdr:to>
      <xdr:col>18</xdr:col>
      <xdr:colOff>401782</xdr:colOff>
      <xdr:row>29</xdr:row>
      <xdr:rowOff>138544</xdr:rowOff>
    </xdr:to>
    <xdr:sp macro="" textlink="">
      <xdr:nvSpPr>
        <xdr:cNvPr id="12" name="TextBox 11">
          <a:extLst>
            <a:ext uri="{FF2B5EF4-FFF2-40B4-BE49-F238E27FC236}">
              <a16:creationId xmlns:a16="http://schemas.microsoft.com/office/drawing/2014/main" id="{BFE44E7B-2CFC-DB27-1446-5B09DA6447C2}"/>
            </a:ext>
          </a:extLst>
        </xdr:cNvPr>
        <xdr:cNvSpPr txBox="1"/>
      </xdr:nvSpPr>
      <xdr:spPr>
        <a:xfrm>
          <a:off x="8756073" y="3131127"/>
          <a:ext cx="2618509" cy="22305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002060"/>
              </a:solidFill>
              <a:latin typeface="Arial" panose="020B0604020202020204" pitchFamily="34" charset="0"/>
              <a:cs typeface="Arial" panose="020B0604020202020204" pitchFamily="34" charset="0"/>
            </a:rPr>
            <a:t>Highest-paying roles</a:t>
          </a:r>
          <a:r>
            <a:rPr lang="en-IN" sz="1600">
              <a:solidFill>
                <a:srgbClr val="002060"/>
              </a:solidFill>
              <a:latin typeface="Arial" panose="020B0604020202020204" pitchFamily="34" charset="0"/>
              <a:cs typeface="Arial" panose="020B0604020202020204" pitchFamily="34" charset="0"/>
            </a:rPr>
            <a:t>: Financial Data Analyst,Principal Data Engineer and Machine Learning Manager are among the highest-paying roles.</a:t>
          </a:r>
        </a:p>
      </xdr:txBody>
    </xdr:sp>
    <xdr:clientData/>
  </xdr:twoCellAnchor>
  <xdr:twoCellAnchor>
    <xdr:from>
      <xdr:col>6</xdr:col>
      <xdr:colOff>143493</xdr:colOff>
      <xdr:row>31</xdr:row>
      <xdr:rowOff>109846</xdr:rowOff>
    </xdr:from>
    <xdr:to>
      <xdr:col>13</xdr:col>
      <xdr:colOff>166254</xdr:colOff>
      <xdr:row>42</xdr:row>
      <xdr:rowOff>124691</xdr:rowOff>
    </xdr:to>
    <xdr:sp macro="" textlink="">
      <xdr:nvSpPr>
        <xdr:cNvPr id="13" name="TextBox 12">
          <a:extLst>
            <a:ext uri="{FF2B5EF4-FFF2-40B4-BE49-F238E27FC236}">
              <a16:creationId xmlns:a16="http://schemas.microsoft.com/office/drawing/2014/main" id="{70E3EDFF-45C8-3824-83F4-37B5FEEA4975}"/>
            </a:ext>
          </a:extLst>
        </xdr:cNvPr>
        <xdr:cNvSpPr txBox="1"/>
      </xdr:nvSpPr>
      <xdr:spPr>
        <a:xfrm>
          <a:off x="3801093" y="5693228"/>
          <a:ext cx="4289961" cy="19960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1">
              <a:solidFill>
                <a:srgbClr val="002060"/>
              </a:solidFill>
              <a:latin typeface="Arial" panose="020B0604020202020204" pitchFamily="34" charset="0"/>
              <a:cs typeface="Arial" panose="020B0604020202020204" pitchFamily="34" charset="0"/>
            </a:rPr>
            <a:t>Experience vs salary: </a:t>
          </a:r>
          <a:r>
            <a:rPr lang="en-IN" sz="1600">
              <a:solidFill>
                <a:srgbClr val="002060"/>
              </a:solidFill>
              <a:latin typeface="Arial" panose="020B0604020202020204" pitchFamily="34" charset="0"/>
              <a:cs typeface="Arial" panose="020B0604020202020204" pitchFamily="34" charset="0"/>
            </a:rPr>
            <a:t>Salaries rise steadily with experience, though anomalies appear in certain regions due to currency conversions.</a:t>
          </a:r>
        </a:p>
        <a:p>
          <a:pPr algn="l"/>
          <a:r>
            <a:rPr lang="en-IN" sz="1600">
              <a:solidFill>
                <a:srgbClr val="002060"/>
              </a:solidFill>
              <a:latin typeface="Arial" panose="020B0604020202020204" pitchFamily="34" charset="0"/>
              <a:cs typeface="Arial" panose="020B0604020202020204" pitchFamily="34" charset="0"/>
            </a:rPr>
            <a:t>It</a:t>
          </a:r>
          <a:r>
            <a:rPr lang="en-IN" sz="1600" baseline="0">
              <a:solidFill>
                <a:srgbClr val="002060"/>
              </a:solidFill>
              <a:latin typeface="Arial" panose="020B0604020202020204" pitchFamily="34" charset="0"/>
              <a:cs typeface="Arial" panose="020B0604020202020204" pitchFamily="34" charset="0"/>
            </a:rPr>
            <a:t> Suddenly Decrease with Expert experience. S</a:t>
          </a:r>
          <a:r>
            <a:rPr lang="en-IN" sz="1600">
              <a:solidFill>
                <a:srgbClr val="002060"/>
              </a:solidFill>
              <a:latin typeface="Arial" panose="020B0604020202020204" pitchFamily="34" charset="0"/>
              <a:cs typeface="Arial" panose="020B0604020202020204" pitchFamily="34" charset="0"/>
            </a:rPr>
            <a:t>ome anomalies exist due to currency conversions (e.g., INR or HUF entries), but the upward trend is consistent.</a:t>
          </a:r>
        </a:p>
      </xdr:txBody>
    </xdr:sp>
    <xdr:clientData/>
  </xdr:twoCellAnchor>
  <xdr:oneCellAnchor>
    <xdr:from>
      <xdr:col>10</xdr:col>
      <xdr:colOff>388620</xdr:colOff>
      <xdr:row>30</xdr:row>
      <xdr:rowOff>99060</xdr:rowOff>
    </xdr:from>
    <xdr:ext cx="184731" cy="264560"/>
    <xdr:sp macro="" textlink="">
      <xdr:nvSpPr>
        <xdr:cNvPr id="14" name="TextBox 13">
          <a:extLst>
            <a:ext uri="{FF2B5EF4-FFF2-40B4-BE49-F238E27FC236}">
              <a16:creationId xmlns:a16="http://schemas.microsoft.com/office/drawing/2014/main" id="{BF430B80-5136-6BDC-1F2F-A16D972E0550}"/>
            </a:ext>
          </a:extLst>
        </xdr:cNvPr>
        <xdr:cNvSpPr txBox="1"/>
      </xdr:nvSpPr>
      <xdr:spPr>
        <a:xfrm>
          <a:off x="6484620" y="5356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0</xdr:colOff>
      <xdr:row>0</xdr:row>
      <xdr:rowOff>13855</xdr:rowOff>
    </xdr:from>
    <xdr:ext cx="10986655" cy="1759528"/>
    <xdr:sp macro="" textlink="">
      <xdr:nvSpPr>
        <xdr:cNvPr id="15" name="TextBox 14">
          <a:extLst>
            <a:ext uri="{FF2B5EF4-FFF2-40B4-BE49-F238E27FC236}">
              <a16:creationId xmlns:a16="http://schemas.microsoft.com/office/drawing/2014/main" id="{0A3CF995-3390-CFAC-1F40-3C7903176159}"/>
            </a:ext>
          </a:extLst>
        </xdr:cNvPr>
        <xdr:cNvSpPr txBox="1"/>
      </xdr:nvSpPr>
      <xdr:spPr>
        <a:xfrm rot="10800000" flipV="1">
          <a:off x="0" y="13855"/>
          <a:ext cx="10986655" cy="175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600" b="1">
              <a:solidFill>
                <a:schemeClr val="accent1">
                  <a:lumMod val="75000"/>
                </a:schemeClr>
              </a:solidFill>
              <a:latin typeface="Aptos Display" panose="020B0004020202020204" pitchFamily="34" charset="0"/>
              <a:cs typeface="Arial" panose="020B0604020202020204" pitchFamily="34" charset="0"/>
            </a:rPr>
            <a:t>This dashboard presents a comprehensive analysis of salary trends and hiring patterns in the Data Science industry from 2020 to 2022. Large companies dominate hiring, especially in regions like the US, while small and medium firms show stronger presence in Europe and Asia. Roles such as Director of Data Science, Principal Data Engineer, and Financial Data Analyst consistently offer the highest average salaries. Full-time employment is the clear preference across all experience levels, with contract and freelance roles appearing mainly at senior tiers. Salary progression aligns with experience, though regional currency effects introduce anomalies at the expert level.</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740" refreshedDate="46017.661353819443" createdVersion="8" refreshedVersion="8" minRefreshableVersion="3" recordCount="302" xr:uid="{F9679ABE-69F9-4A7B-B61A-BD3CB3886CC9}">
  <cacheSource type="worksheet">
    <worksheetSource name="Data"/>
  </cacheSource>
  <cacheFields count="15">
    <cacheField name="Index" numFmtId="0">
      <sharedItems containsBlank="1"/>
    </cacheField>
    <cacheField name="work_year" numFmtId="0">
      <sharedItems containsString="0" containsBlank="1" containsNumber="1" containsInteger="1" minValue="2020" maxValue="2022" count="4">
        <n v="2020"/>
        <n v="2021"/>
        <n v="2022"/>
        <m/>
      </sharedItems>
    </cacheField>
    <cacheField name="experience_level" numFmtId="0">
      <sharedItems containsBlank="1" count="5">
        <s v="Entrylevel"/>
        <s v="Intermediate"/>
        <s v="Senior"/>
        <s v="Expert"/>
        <m/>
      </sharedItems>
    </cacheField>
    <cacheField name="employment_type" numFmtId="0">
      <sharedItems containsBlank="1" count="5">
        <s v="Full Time"/>
        <s v="Contract"/>
        <s v="Part Time"/>
        <s v="Freelance"/>
        <m/>
      </sharedItems>
    </cacheField>
    <cacheField name="job_title" numFmtId="0">
      <sharedItems containsBlank="1" count="45">
        <s v="Data Analyst"/>
        <s v="Data Scientist"/>
        <s v="Data Engineer"/>
        <s v="Data Science Consultant"/>
        <s v="Research Scientist"/>
        <s v="Business Data Analyst"/>
        <s v="Big Data Engineer"/>
        <s v="Machine Learning Engineer"/>
        <s v="ML Engineer"/>
        <s v="AI Scientist"/>
        <s v="Computer Vision Software Engineer"/>
        <s v="Machine Learning Scientist"/>
        <s v="Applied Data Scientist"/>
        <s v="Machine Learning Developer"/>
        <s v="BI Data Analyst"/>
        <s v="Computer Vision Engineer"/>
        <s v="Product Data Analyst"/>
        <s v="Lead Data Analyst"/>
        <s v="Lead Data Engineer"/>
        <s v="Lead Data Scientist"/>
        <s v="Data Engineering Manager"/>
        <s v="Machine Learning Infrastructure Engineer"/>
        <s v="3D Computer Vision Researcher"/>
        <s v="Data Analytics Engineer"/>
        <s v="Cloud Data Engineer"/>
        <s v="Financial Data Analyst"/>
        <s v="Data Science Engineer"/>
        <s v="Principal Data Scientist"/>
        <s v="Applied Machine Learning Scientist"/>
        <s v="Data Architect"/>
        <s v="Head of Data Science"/>
        <s v="Machine Learning Manager"/>
        <s v="Data Science Manager"/>
        <s v="Marketing Data Analyst"/>
        <s v="Director of Data Engineering"/>
        <s v="Principal Data Engineer"/>
        <s v="Director of Data Science"/>
        <s v="Data Analytics Manager"/>
        <s v="Data Specialist"/>
        <s v="Finance Data Analyst"/>
        <s v="Principal Data Analyst"/>
        <s v="Big Data Architect"/>
        <s v="Staff Data Scientist"/>
        <s v="Head of Data"/>
        <m/>
      </sharedItems>
    </cacheField>
    <cacheField name="salary" numFmtId="0">
      <sharedItems containsString="0" containsBlank="1" containsNumber="1" containsInteger="1" minValue="4000" maxValue="30400000"/>
    </cacheField>
    <cacheField name="salary_currency" numFmtId="0">
      <sharedItems containsBlank="1"/>
    </cacheField>
    <cacheField name="salary_in_usd" numFmtId="0">
      <sharedItems containsString="0" containsBlank="1" containsNumber="1" containsInteger="1" minValue="2859" maxValue="600000"/>
    </cacheField>
    <cacheField name="salary_in_rupee" numFmtId="0">
      <sharedItems containsSemiMixedTypes="0" containsString="0" containsNumber="1" minValue="0" maxValue="49872000"/>
    </cacheField>
    <cacheField name="employee_residence" numFmtId="0">
      <sharedItems containsBlank="1"/>
    </cacheField>
    <cacheField name="remote_ratio" numFmtId="2">
      <sharedItems containsString="0" containsBlank="1" containsNumber="1" containsInteger="1" minValue="0" maxValue="100"/>
    </cacheField>
    <cacheField name="company_location" numFmtId="0">
      <sharedItems containsBlank="1" count="46">
        <s v="US"/>
        <s v="FR"/>
        <s v="JP"/>
        <s v="IN"/>
        <s v="NL"/>
        <s v="NG"/>
        <s v="DE"/>
        <s v="DK"/>
        <s v="IT"/>
        <s v="GB"/>
        <s v="ES"/>
        <s v="IQ"/>
        <s v="UA"/>
        <s v="CO"/>
        <s v="KE"/>
        <s v="CH"/>
        <s v="VN"/>
        <s v="AS"/>
        <s v="LU"/>
        <s v="CN"/>
        <s v="HN"/>
        <s v="HU"/>
        <s v="PK"/>
        <s v="AE"/>
        <s v="AT"/>
        <s v="PT"/>
        <s v="CA"/>
        <s v="PL"/>
        <s v="SG"/>
        <s v="GR"/>
        <s v="RO"/>
        <s v="IL"/>
        <s v="MT"/>
        <s v="MX"/>
        <s v="CL"/>
        <s v="IR"/>
        <s v="MD"/>
        <s v="BR"/>
        <s v="SI"/>
        <s v="BE"/>
        <s v="TR"/>
        <s v="CZ"/>
        <s v="NZ"/>
        <s v="HR"/>
        <s v="RU"/>
        <m/>
      </sharedItems>
    </cacheField>
    <cacheField name="company_size" numFmtId="0">
      <sharedItems containsBlank="1" count="4">
        <s v="Large"/>
        <s v="Small"/>
        <s v="Medium"/>
        <m/>
      </sharedItems>
    </cacheField>
    <cacheField name="remote_label" numFmtId="0">
      <sharedItems containsBlank="1" count="4">
        <s v="Remote"/>
        <s v="Onsite"/>
        <s v="Hybrid"/>
        <m/>
      </sharedItems>
    </cacheField>
    <cacheField name="exp_order" numFmtId="0">
      <sharedItems containsString="0" containsBlank="1" containsNumber="1" containsInteger="1" minValue="1" maxValue="4" count="5">
        <n v="1"/>
        <n v="2"/>
        <n v="3"/>
        <n v="4"/>
        <m/>
      </sharedItems>
    </cacheField>
  </cacheFields>
  <extLst>
    <ext xmlns:x14="http://schemas.microsoft.com/office/spreadsheetml/2009/9/main" uri="{725AE2AE-9491-48be-B2B4-4EB974FC3084}">
      <x14:pivotCacheDefinition pivotCacheId="13629845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
  <r>
    <s v="EMP006"/>
    <x v="0"/>
    <x v="0"/>
    <x v="0"/>
    <x v="0"/>
    <n v="72000"/>
    <s v="USD"/>
    <n v="72000"/>
    <n v="5984640"/>
    <s v="US"/>
    <n v="100"/>
    <x v="0"/>
    <x v="0"/>
    <x v="0"/>
    <x v="0"/>
  </r>
  <r>
    <s v="EMP011"/>
    <x v="0"/>
    <x v="0"/>
    <x v="0"/>
    <x v="1"/>
    <n v="45000"/>
    <s v="EUR"/>
    <n v="51321"/>
    <n v="4265801.5200000005"/>
    <s v="FR"/>
    <n v="0"/>
    <x v="1"/>
    <x v="1"/>
    <x v="1"/>
    <x v="0"/>
  </r>
  <r>
    <s v="EMP013"/>
    <x v="0"/>
    <x v="0"/>
    <x v="0"/>
    <x v="1"/>
    <n v="35000"/>
    <s v="EUR"/>
    <n v="39916"/>
    <n v="3317817.9200000004"/>
    <s v="FR"/>
    <n v="0"/>
    <x v="1"/>
    <x v="2"/>
    <x v="1"/>
    <x v="0"/>
  </r>
  <r>
    <s v="EMP017"/>
    <x v="0"/>
    <x v="0"/>
    <x v="0"/>
    <x v="2"/>
    <n v="4450000"/>
    <s v="JPY"/>
    <n v="41689"/>
    <n v="3465189.68"/>
    <s v="JP"/>
    <n v="100"/>
    <x v="2"/>
    <x v="1"/>
    <x v="0"/>
    <x v="0"/>
  </r>
  <r>
    <s v="EMP019"/>
    <x v="0"/>
    <x v="0"/>
    <x v="0"/>
    <x v="3"/>
    <n v="423000"/>
    <s v="INR"/>
    <n v="5707"/>
    <n v="474365.84"/>
    <s v="IN"/>
    <n v="50"/>
    <x v="3"/>
    <x v="2"/>
    <x v="2"/>
    <x v="0"/>
  </r>
  <r>
    <s v="EMP027"/>
    <x v="0"/>
    <x v="0"/>
    <x v="0"/>
    <x v="4"/>
    <n v="42000"/>
    <s v="USD"/>
    <n v="42000"/>
    <n v="3491040"/>
    <s v="NL"/>
    <n v="50"/>
    <x v="4"/>
    <x v="0"/>
    <x v="2"/>
    <x v="0"/>
  </r>
  <r>
    <s v="EMP029"/>
    <x v="0"/>
    <x v="0"/>
    <x v="1"/>
    <x v="5"/>
    <n v="100000"/>
    <s v="USD"/>
    <n v="100000"/>
    <n v="8312000"/>
    <s v="US"/>
    <n v="100"/>
    <x v="0"/>
    <x v="0"/>
    <x v="0"/>
    <x v="0"/>
  </r>
  <r>
    <s v="EMP032"/>
    <x v="0"/>
    <x v="0"/>
    <x v="0"/>
    <x v="6"/>
    <n v="70000"/>
    <s v="USD"/>
    <n v="70000"/>
    <n v="5818400"/>
    <s v="US"/>
    <n v="100"/>
    <x v="0"/>
    <x v="0"/>
    <x v="0"/>
    <x v="0"/>
  </r>
  <r>
    <s v="EMP038"/>
    <x v="0"/>
    <x v="0"/>
    <x v="0"/>
    <x v="7"/>
    <n v="250000"/>
    <s v="USD"/>
    <n v="250000"/>
    <n v="20780000"/>
    <s v="US"/>
    <n v="50"/>
    <x v="0"/>
    <x v="0"/>
    <x v="2"/>
    <x v="0"/>
  </r>
  <r>
    <s v="EMP039"/>
    <x v="0"/>
    <x v="0"/>
    <x v="0"/>
    <x v="0"/>
    <n v="10000"/>
    <s v="USD"/>
    <n v="10000"/>
    <n v="831200"/>
    <s v="NG"/>
    <n v="100"/>
    <x v="5"/>
    <x v="1"/>
    <x v="0"/>
    <x v="0"/>
  </r>
  <r>
    <s v="EMP040"/>
    <x v="0"/>
    <x v="0"/>
    <x v="0"/>
    <x v="7"/>
    <n v="138000"/>
    <s v="USD"/>
    <n v="138000"/>
    <n v="11470560"/>
    <s v="US"/>
    <n v="100"/>
    <x v="0"/>
    <x v="1"/>
    <x v="0"/>
    <x v="0"/>
  </r>
  <r>
    <s v="EMP046"/>
    <x v="0"/>
    <x v="0"/>
    <x v="2"/>
    <x v="8"/>
    <n v="14000"/>
    <s v="EUR"/>
    <n v="15966"/>
    <n v="1327093.9200000002"/>
    <s v="DE"/>
    <n v="100"/>
    <x v="6"/>
    <x v="1"/>
    <x v="0"/>
    <x v="0"/>
  </r>
  <r>
    <s v="EMP051"/>
    <x v="0"/>
    <x v="0"/>
    <x v="0"/>
    <x v="0"/>
    <n v="450000"/>
    <s v="INR"/>
    <n v="6072"/>
    <n v="504704.64"/>
    <s v="IN"/>
    <n v="0"/>
    <x v="3"/>
    <x v="1"/>
    <x v="1"/>
    <x v="0"/>
  </r>
  <r>
    <s v="EMP052"/>
    <x v="0"/>
    <x v="0"/>
    <x v="0"/>
    <x v="0"/>
    <n v="91000"/>
    <s v="USD"/>
    <n v="91000"/>
    <n v="7563920"/>
    <s v="US"/>
    <n v="100"/>
    <x v="0"/>
    <x v="0"/>
    <x v="0"/>
    <x v="0"/>
  </r>
  <r>
    <s v="EMP053"/>
    <x v="0"/>
    <x v="0"/>
    <x v="0"/>
    <x v="9"/>
    <n v="300000"/>
    <s v="DKK"/>
    <n v="45896"/>
    <n v="3814875.52"/>
    <s v="DK"/>
    <n v="50"/>
    <x v="7"/>
    <x v="1"/>
    <x v="2"/>
    <x v="0"/>
  </r>
  <r>
    <s v="EMP054"/>
    <x v="0"/>
    <x v="0"/>
    <x v="0"/>
    <x v="2"/>
    <n v="48000"/>
    <s v="EUR"/>
    <n v="54742"/>
    <n v="4550155.04"/>
    <s v="PK"/>
    <n v="100"/>
    <x v="6"/>
    <x v="0"/>
    <x v="0"/>
    <x v="0"/>
  </r>
  <r>
    <s v="EMP063"/>
    <x v="0"/>
    <x v="0"/>
    <x v="2"/>
    <x v="1"/>
    <n v="19000"/>
    <s v="EUR"/>
    <n v="21669"/>
    <n v="1801127.28"/>
    <s v="IT"/>
    <n v="50"/>
    <x v="8"/>
    <x v="1"/>
    <x v="2"/>
    <x v="0"/>
  </r>
  <r>
    <s v="EMP066"/>
    <x v="0"/>
    <x v="0"/>
    <x v="0"/>
    <x v="1"/>
    <n v="55000"/>
    <s v="EUR"/>
    <n v="62726"/>
    <n v="5213785.12"/>
    <s v="DE"/>
    <n v="50"/>
    <x v="6"/>
    <x v="1"/>
    <x v="2"/>
    <x v="0"/>
  </r>
  <r>
    <s v="EMP067"/>
    <x v="0"/>
    <x v="0"/>
    <x v="0"/>
    <x v="1"/>
    <n v="43200"/>
    <s v="EUR"/>
    <n v="49268"/>
    <n v="4095156.16"/>
    <s v="DE"/>
    <n v="0"/>
    <x v="6"/>
    <x v="1"/>
    <x v="1"/>
    <x v="0"/>
  </r>
  <r>
    <s v="EMP069"/>
    <x v="0"/>
    <x v="0"/>
    <x v="0"/>
    <x v="1"/>
    <n v="105000"/>
    <s v="USD"/>
    <n v="105000"/>
    <n v="8727600"/>
    <s v="US"/>
    <n v="100"/>
    <x v="0"/>
    <x v="1"/>
    <x v="0"/>
    <x v="0"/>
  </r>
  <r>
    <s v="EMP073"/>
    <x v="1"/>
    <x v="0"/>
    <x v="0"/>
    <x v="4"/>
    <n v="60000"/>
    <s v="GBP"/>
    <n v="82528"/>
    <n v="6859727.3600000003"/>
    <s v="GB"/>
    <n v="50"/>
    <x v="9"/>
    <x v="0"/>
    <x v="2"/>
    <x v="0"/>
  </r>
  <r>
    <s v="EMP080"/>
    <x v="1"/>
    <x v="0"/>
    <x v="0"/>
    <x v="0"/>
    <n v="80000"/>
    <s v="USD"/>
    <n v="80000"/>
    <n v="6649600"/>
    <s v="US"/>
    <n v="100"/>
    <x v="0"/>
    <x v="2"/>
    <x v="0"/>
    <x v="0"/>
  </r>
  <r>
    <s v="EMP087"/>
    <x v="1"/>
    <x v="0"/>
    <x v="0"/>
    <x v="0"/>
    <n v="50000"/>
    <s v="EUR"/>
    <n v="59102"/>
    <n v="4912558.24"/>
    <s v="FR"/>
    <n v="50"/>
    <x v="1"/>
    <x v="2"/>
    <x v="2"/>
    <x v="0"/>
  </r>
  <r>
    <s v="EMP092"/>
    <x v="1"/>
    <x v="0"/>
    <x v="0"/>
    <x v="3"/>
    <n v="65000"/>
    <s v="EUR"/>
    <n v="76833"/>
    <n v="6386358.96"/>
    <s v="DE"/>
    <n v="100"/>
    <x v="6"/>
    <x v="1"/>
    <x v="0"/>
    <x v="0"/>
  </r>
  <r>
    <s v="EMP095"/>
    <x v="1"/>
    <x v="0"/>
    <x v="0"/>
    <x v="1"/>
    <n v="2200000"/>
    <s v="INR"/>
    <n v="29751"/>
    <n v="2472903.12"/>
    <s v="IN"/>
    <n v="50"/>
    <x v="3"/>
    <x v="0"/>
    <x v="2"/>
    <x v="0"/>
  </r>
  <r>
    <s v="EMP097"/>
    <x v="1"/>
    <x v="0"/>
    <x v="2"/>
    <x v="9"/>
    <n v="12000"/>
    <s v="USD"/>
    <n v="12000"/>
    <n v="997440"/>
    <s v="BR"/>
    <n v="100"/>
    <x v="0"/>
    <x v="1"/>
    <x v="0"/>
    <x v="0"/>
  </r>
  <r>
    <s v="EMP099"/>
    <x v="1"/>
    <x v="0"/>
    <x v="0"/>
    <x v="10"/>
    <n v="70000"/>
    <s v="USD"/>
    <n v="70000"/>
    <n v="5818400"/>
    <s v="US"/>
    <n v="100"/>
    <x v="0"/>
    <x v="2"/>
    <x v="0"/>
    <x v="0"/>
  </r>
  <r>
    <s v="EMP110"/>
    <x v="1"/>
    <x v="0"/>
    <x v="0"/>
    <x v="2"/>
    <n v="2250000"/>
    <s v="INR"/>
    <n v="30428"/>
    <n v="2529175.3600000003"/>
    <s v="IN"/>
    <n v="100"/>
    <x v="3"/>
    <x v="0"/>
    <x v="0"/>
    <x v="0"/>
  </r>
  <r>
    <s v="EMP114"/>
    <x v="1"/>
    <x v="0"/>
    <x v="2"/>
    <x v="9"/>
    <n v="12000"/>
    <s v="USD"/>
    <n v="12000"/>
    <n v="997440"/>
    <s v="PK"/>
    <n v="100"/>
    <x v="0"/>
    <x v="2"/>
    <x v="0"/>
    <x v="0"/>
  </r>
  <r>
    <s v="EMP116"/>
    <x v="1"/>
    <x v="0"/>
    <x v="0"/>
    <x v="11"/>
    <n v="225000"/>
    <s v="USD"/>
    <n v="225000"/>
    <n v="18702000"/>
    <s v="US"/>
    <n v="100"/>
    <x v="0"/>
    <x v="0"/>
    <x v="0"/>
    <x v="0"/>
  </r>
  <r>
    <s v="EMP119"/>
    <x v="1"/>
    <x v="0"/>
    <x v="0"/>
    <x v="0"/>
    <n v="90000"/>
    <s v="USD"/>
    <n v="90000"/>
    <n v="7480800"/>
    <s v="US"/>
    <n v="100"/>
    <x v="0"/>
    <x v="1"/>
    <x v="0"/>
    <x v="0"/>
  </r>
  <r>
    <s v="EMP123"/>
    <x v="1"/>
    <x v="0"/>
    <x v="0"/>
    <x v="0"/>
    <n v="50000"/>
    <s v="USD"/>
    <n v="50000"/>
    <n v="4156000"/>
    <s v="US"/>
    <n v="100"/>
    <x v="0"/>
    <x v="2"/>
    <x v="0"/>
    <x v="0"/>
  </r>
  <r>
    <s v="EMP124"/>
    <x v="1"/>
    <x v="0"/>
    <x v="0"/>
    <x v="12"/>
    <n v="80000"/>
    <s v="GBP"/>
    <n v="110037"/>
    <n v="9146275.4400000013"/>
    <s v="GB"/>
    <n v="0"/>
    <x v="9"/>
    <x v="0"/>
    <x v="1"/>
    <x v="0"/>
  </r>
  <r>
    <s v="EMP125"/>
    <x v="1"/>
    <x v="0"/>
    <x v="2"/>
    <x v="0"/>
    <n v="8760"/>
    <s v="EUR"/>
    <n v="10354"/>
    <n v="860624.4800000001"/>
    <s v="ES"/>
    <n v="50"/>
    <x v="10"/>
    <x v="2"/>
    <x v="2"/>
    <x v="0"/>
  </r>
  <r>
    <s v="EMP129"/>
    <x v="1"/>
    <x v="0"/>
    <x v="0"/>
    <x v="7"/>
    <n v="20000"/>
    <s v="USD"/>
    <n v="20000"/>
    <n v="1662400"/>
    <s v="IN"/>
    <n v="100"/>
    <x v="3"/>
    <x v="1"/>
    <x v="0"/>
    <x v="0"/>
  </r>
  <r>
    <s v="EMP131"/>
    <x v="1"/>
    <x v="0"/>
    <x v="0"/>
    <x v="13"/>
    <n v="100000"/>
    <s v="USD"/>
    <n v="100000"/>
    <n v="8312000"/>
    <s v="IQ"/>
    <n v="50"/>
    <x v="11"/>
    <x v="1"/>
    <x v="2"/>
    <x v="0"/>
  </r>
  <r>
    <s v="EMP132"/>
    <x v="1"/>
    <x v="0"/>
    <x v="0"/>
    <x v="1"/>
    <n v="42000"/>
    <s v="EUR"/>
    <n v="49646"/>
    <n v="4126575.52"/>
    <s v="FR"/>
    <n v="50"/>
    <x v="1"/>
    <x v="2"/>
    <x v="2"/>
    <x v="0"/>
  </r>
  <r>
    <s v="EMP135"/>
    <x v="1"/>
    <x v="0"/>
    <x v="0"/>
    <x v="1"/>
    <n v="100000"/>
    <s v="USD"/>
    <n v="100000"/>
    <n v="8312000"/>
    <s v="US"/>
    <n v="0"/>
    <x v="0"/>
    <x v="1"/>
    <x v="1"/>
    <x v="0"/>
  </r>
  <r>
    <s v="EMP140"/>
    <x v="1"/>
    <x v="0"/>
    <x v="0"/>
    <x v="1"/>
    <n v="80000"/>
    <s v="USD"/>
    <n v="80000"/>
    <n v="6649600"/>
    <s v="US"/>
    <n v="100"/>
    <x v="0"/>
    <x v="2"/>
    <x v="0"/>
    <x v="0"/>
  </r>
  <r>
    <s v="EMP154"/>
    <x v="1"/>
    <x v="0"/>
    <x v="0"/>
    <x v="1"/>
    <n v="13400"/>
    <s v="USD"/>
    <n v="13400"/>
    <n v="1113808"/>
    <s v="UA"/>
    <n v="100"/>
    <x v="12"/>
    <x v="0"/>
    <x v="0"/>
    <x v="0"/>
  </r>
  <r>
    <s v="EMP160"/>
    <x v="1"/>
    <x v="0"/>
    <x v="0"/>
    <x v="7"/>
    <n v="125000"/>
    <s v="USD"/>
    <n v="125000"/>
    <n v="10390000"/>
    <s v="US"/>
    <n v="100"/>
    <x v="0"/>
    <x v="1"/>
    <x v="0"/>
    <x v="0"/>
  </r>
  <r>
    <s v="EMP164"/>
    <x v="1"/>
    <x v="0"/>
    <x v="0"/>
    <x v="3"/>
    <n v="54000"/>
    <s v="EUR"/>
    <n v="63831"/>
    <n v="5305632.7200000007"/>
    <s v="DE"/>
    <n v="50"/>
    <x v="6"/>
    <x v="0"/>
    <x v="2"/>
    <x v="0"/>
  </r>
  <r>
    <s v="EMP167"/>
    <x v="1"/>
    <x v="0"/>
    <x v="0"/>
    <x v="2"/>
    <n v="80000"/>
    <s v="USD"/>
    <n v="80000"/>
    <n v="6649600"/>
    <s v="US"/>
    <n v="100"/>
    <x v="0"/>
    <x v="0"/>
    <x v="0"/>
    <x v="0"/>
  </r>
  <r>
    <s v="EMP169"/>
    <x v="1"/>
    <x v="0"/>
    <x v="0"/>
    <x v="14"/>
    <n v="55000"/>
    <s v="USD"/>
    <n v="55000"/>
    <n v="4571600"/>
    <s v="US"/>
    <n v="50"/>
    <x v="0"/>
    <x v="1"/>
    <x v="2"/>
    <x v="0"/>
  </r>
  <r>
    <s v="EMP173"/>
    <x v="1"/>
    <x v="0"/>
    <x v="0"/>
    <x v="0"/>
    <n v="60000"/>
    <s v="USD"/>
    <n v="60000"/>
    <n v="4987200"/>
    <s v="US"/>
    <n v="100"/>
    <x v="0"/>
    <x v="1"/>
    <x v="0"/>
    <x v="0"/>
  </r>
  <r>
    <s v="EMP179"/>
    <x v="1"/>
    <x v="0"/>
    <x v="0"/>
    <x v="7"/>
    <n v="81000"/>
    <s v="USD"/>
    <n v="81000"/>
    <n v="6732720"/>
    <s v="US"/>
    <n v="50"/>
    <x v="0"/>
    <x v="1"/>
    <x v="2"/>
    <x v="0"/>
  </r>
  <r>
    <s v="EMP192"/>
    <x v="1"/>
    <x v="0"/>
    <x v="0"/>
    <x v="7"/>
    <n v="21844"/>
    <s v="USD"/>
    <n v="21844"/>
    <n v="1815673.28"/>
    <s v="CO"/>
    <n v="50"/>
    <x v="13"/>
    <x v="2"/>
    <x v="2"/>
    <x v="0"/>
  </r>
  <r>
    <s v="EMP197"/>
    <x v="1"/>
    <x v="0"/>
    <x v="0"/>
    <x v="14"/>
    <n v="9272"/>
    <s v="USD"/>
    <n v="9272"/>
    <n v="770688.64"/>
    <s v="KE"/>
    <n v="100"/>
    <x v="14"/>
    <x v="1"/>
    <x v="0"/>
    <x v="0"/>
  </r>
  <r>
    <s v="EMP200"/>
    <x v="1"/>
    <x v="0"/>
    <x v="0"/>
    <x v="3"/>
    <n v="90000"/>
    <s v="USD"/>
    <n v="90000"/>
    <n v="7480800"/>
    <s v="US"/>
    <n v="100"/>
    <x v="0"/>
    <x v="1"/>
    <x v="0"/>
    <x v="0"/>
  </r>
  <r>
    <s v="EMP214"/>
    <x v="1"/>
    <x v="0"/>
    <x v="0"/>
    <x v="6"/>
    <n v="435000"/>
    <s v="INR"/>
    <n v="5882"/>
    <n v="488911.84"/>
    <s v="IN"/>
    <n v="0"/>
    <x v="15"/>
    <x v="0"/>
    <x v="1"/>
    <x v="0"/>
  </r>
  <r>
    <s v="EMP215"/>
    <x v="1"/>
    <x v="0"/>
    <x v="0"/>
    <x v="7"/>
    <n v="21000"/>
    <s v="EUR"/>
    <n v="24823"/>
    <n v="2063287.76"/>
    <s v="DE"/>
    <n v="50"/>
    <x v="6"/>
    <x v="2"/>
    <x v="2"/>
    <x v="0"/>
  </r>
  <r>
    <s v="EMP217"/>
    <x v="1"/>
    <x v="0"/>
    <x v="2"/>
    <x v="15"/>
    <n v="180000"/>
    <s v="DKK"/>
    <n v="28609"/>
    <n v="2377980.08"/>
    <s v="DK"/>
    <n v="50"/>
    <x v="7"/>
    <x v="1"/>
    <x v="2"/>
    <x v="0"/>
  </r>
  <r>
    <s v="EMP231"/>
    <x v="1"/>
    <x v="0"/>
    <x v="0"/>
    <x v="6"/>
    <n v="1200000"/>
    <s v="INR"/>
    <n v="16228"/>
    <n v="1348871.36"/>
    <s v="IN"/>
    <n v="100"/>
    <x v="3"/>
    <x v="0"/>
    <x v="0"/>
    <x v="0"/>
  </r>
  <r>
    <s v="EMP239"/>
    <x v="1"/>
    <x v="0"/>
    <x v="0"/>
    <x v="1"/>
    <n v="4000"/>
    <s v="USD"/>
    <n v="4000"/>
    <n v="332480"/>
    <s v="VN"/>
    <n v="0"/>
    <x v="16"/>
    <x v="2"/>
    <x v="1"/>
    <x v="0"/>
  </r>
  <r>
    <s v="EMP240"/>
    <x v="1"/>
    <x v="0"/>
    <x v="0"/>
    <x v="2"/>
    <n v="1600000"/>
    <s v="INR"/>
    <n v="21637"/>
    <n v="1798467.4400000002"/>
    <s v="IN"/>
    <n v="50"/>
    <x v="3"/>
    <x v="2"/>
    <x v="2"/>
    <x v="0"/>
  </r>
  <r>
    <s v="EMP245"/>
    <x v="1"/>
    <x v="0"/>
    <x v="0"/>
    <x v="9"/>
    <n v="1335000"/>
    <s v="INR"/>
    <n v="18053"/>
    <n v="1500565.36"/>
    <s v="IN"/>
    <n v="100"/>
    <x v="17"/>
    <x v="1"/>
    <x v="0"/>
    <x v="0"/>
  </r>
  <r>
    <s v="EMP247"/>
    <x v="1"/>
    <x v="0"/>
    <x v="0"/>
    <x v="1"/>
    <n v="31000"/>
    <s v="EUR"/>
    <n v="36643"/>
    <n v="3045766.16"/>
    <s v="FR"/>
    <n v="50"/>
    <x v="1"/>
    <x v="0"/>
    <x v="2"/>
    <x v="0"/>
  </r>
  <r>
    <s v="EMP252"/>
    <x v="1"/>
    <x v="0"/>
    <x v="0"/>
    <x v="1"/>
    <n v="90000"/>
    <s v="USD"/>
    <n v="90000"/>
    <n v="7480800"/>
    <s v="US"/>
    <n v="100"/>
    <x v="0"/>
    <x v="1"/>
    <x v="0"/>
    <x v="0"/>
  </r>
  <r>
    <s v="EMP254"/>
    <x v="1"/>
    <x v="0"/>
    <x v="0"/>
    <x v="1"/>
    <n v="2100000"/>
    <s v="INR"/>
    <n v="28399"/>
    <n v="2360524.8800000004"/>
    <s v="IN"/>
    <n v="100"/>
    <x v="3"/>
    <x v="2"/>
    <x v="0"/>
    <x v="0"/>
  </r>
  <r>
    <s v="EMP270"/>
    <x v="1"/>
    <x v="0"/>
    <x v="0"/>
    <x v="2"/>
    <n v="55000"/>
    <s v="EUR"/>
    <n v="65013"/>
    <n v="5403880.5600000005"/>
    <s v="DE"/>
    <n v="50"/>
    <x v="6"/>
    <x v="2"/>
    <x v="2"/>
    <x v="0"/>
  </r>
  <r>
    <s v="EMP271"/>
    <x v="1"/>
    <x v="0"/>
    <x v="0"/>
    <x v="2"/>
    <n v="72500"/>
    <s v="USD"/>
    <n v="72500"/>
    <n v="6026200"/>
    <s v="US"/>
    <n v="100"/>
    <x v="0"/>
    <x v="0"/>
    <x v="0"/>
    <x v="0"/>
  </r>
  <r>
    <s v="EMP273"/>
    <x v="1"/>
    <x v="0"/>
    <x v="0"/>
    <x v="3"/>
    <n v="65000"/>
    <s v="EUR"/>
    <n v="76833"/>
    <n v="6386358.96"/>
    <s v="DE"/>
    <n v="0"/>
    <x v="6"/>
    <x v="0"/>
    <x v="1"/>
    <x v="0"/>
  </r>
  <r>
    <s v="EMP274"/>
    <x v="1"/>
    <x v="0"/>
    <x v="0"/>
    <x v="7"/>
    <n v="85000"/>
    <s v="USD"/>
    <n v="85000"/>
    <n v="7065200"/>
    <s v="NL"/>
    <n v="100"/>
    <x v="6"/>
    <x v="1"/>
    <x v="0"/>
    <x v="0"/>
  </r>
  <r>
    <s v="EMP276"/>
    <x v="1"/>
    <x v="0"/>
    <x v="0"/>
    <x v="1"/>
    <n v="100000"/>
    <s v="USD"/>
    <n v="100000"/>
    <n v="8312000"/>
    <s v="US"/>
    <n v="100"/>
    <x v="0"/>
    <x v="2"/>
    <x v="0"/>
    <x v="0"/>
  </r>
  <r>
    <s v="EMP277"/>
    <x v="1"/>
    <x v="0"/>
    <x v="0"/>
    <x v="1"/>
    <n v="58000"/>
    <s v="USD"/>
    <n v="58000"/>
    <n v="4820960"/>
    <s v="US"/>
    <n v="50"/>
    <x v="0"/>
    <x v="0"/>
    <x v="2"/>
    <x v="0"/>
  </r>
  <r>
    <s v="EMP280"/>
    <x v="1"/>
    <x v="0"/>
    <x v="0"/>
    <x v="5"/>
    <n v="50000"/>
    <s v="EUR"/>
    <n v="59102"/>
    <n v="4912558.24"/>
    <s v="LU"/>
    <n v="100"/>
    <x v="18"/>
    <x v="0"/>
    <x v="0"/>
    <x v="0"/>
  </r>
  <r>
    <s v="EMP282"/>
    <x v="1"/>
    <x v="0"/>
    <x v="0"/>
    <x v="4"/>
    <n v="100000"/>
    <s v="USD"/>
    <n v="100000"/>
    <n v="8312000"/>
    <s v="JE"/>
    <n v="0"/>
    <x v="19"/>
    <x v="0"/>
    <x v="1"/>
    <x v="0"/>
  </r>
  <r>
    <s v="EMP001"/>
    <x v="0"/>
    <x v="1"/>
    <x v="0"/>
    <x v="1"/>
    <n v="70000"/>
    <s v="EUR"/>
    <n v="79833"/>
    <n v="6635718.96"/>
    <s v="DE"/>
    <n v="0"/>
    <x v="6"/>
    <x v="0"/>
    <x v="1"/>
    <x v="1"/>
  </r>
  <r>
    <s v="EMP004"/>
    <x v="0"/>
    <x v="1"/>
    <x v="0"/>
    <x v="16"/>
    <n v="20000"/>
    <s v="USD"/>
    <n v="20000"/>
    <n v="1662400"/>
    <s v="HN"/>
    <n v="0"/>
    <x v="20"/>
    <x v="1"/>
    <x v="1"/>
    <x v="1"/>
  </r>
  <r>
    <s v="EMP008"/>
    <x v="0"/>
    <x v="1"/>
    <x v="0"/>
    <x v="1"/>
    <n v="11000000"/>
    <s v="HUF"/>
    <n v="35735"/>
    <n v="2970293.2"/>
    <s v="HU"/>
    <n v="50"/>
    <x v="21"/>
    <x v="0"/>
    <x v="2"/>
    <x v="1"/>
  </r>
  <r>
    <s v="EMP009"/>
    <x v="0"/>
    <x v="1"/>
    <x v="0"/>
    <x v="5"/>
    <n v="135000"/>
    <s v="USD"/>
    <n v="135000"/>
    <n v="11221200"/>
    <s v="US"/>
    <n v="100"/>
    <x v="0"/>
    <x v="0"/>
    <x v="0"/>
    <x v="1"/>
  </r>
  <r>
    <s v="EMP012"/>
    <x v="0"/>
    <x v="1"/>
    <x v="0"/>
    <x v="1"/>
    <n v="3000000"/>
    <s v="INR"/>
    <n v="40481"/>
    <n v="3364780.72"/>
    <s v="IN"/>
    <n v="0"/>
    <x v="3"/>
    <x v="0"/>
    <x v="1"/>
    <x v="1"/>
  </r>
  <r>
    <s v="EMP014"/>
    <x v="0"/>
    <x v="1"/>
    <x v="0"/>
    <x v="17"/>
    <n v="87000"/>
    <s v="USD"/>
    <n v="87000"/>
    <n v="7231440"/>
    <s v="US"/>
    <n v="100"/>
    <x v="0"/>
    <x v="0"/>
    <x v="0"/>
    <x v="1"/>
  </r>
  <r>
    <s v="EMP015"/>
    <x v="0"/>
    <x v="1"/>
    <x v="0"/>
    <x v="0"/>
    <n v="85000"/>
    <s v="USD"/>
    <n v="85000"/>
    <n v="7065200"/>
    <s v="US"/>
    <n v="100"/>
    <x v="0"/>
    <x v="0"/>
    <x v="0"/>
    <x v="1"/>
  </r>
  <r>
    <s v="EMP016"/>
    <x v="0"/>
    <x v="1"/>
    <x v="0"/>
    <x v="0"/>
    <n v="8000"/>
    <s v="USD"/>
    <n v="8000"/>
    <n v="664960"/>
    <s v="PK"/>
    <n v="50"/>
    <x v="22"/>
    <x v="0"/>
    <x v="2"/>
    <x v="1"/>
  </r>
  <r>
    <s v="EMP020"/>
    <x v="0"/>
    <x v="1"/>
    <x v="0"/>
    <x v="18"/>
    <n v="56000"/>
    <s v="USD"/>
    <n v="56000"/>
    <n v="4654720"/>
    <s v="PT"/>
    <n v="100"/>
    <x v="0"/>
    <x v="2"/>
    <x v="0"/>
    <x v="1"/>
  </r>
  <r>
    <s v="EMP021"/>
    <x v="0"/>
    <x v="1"/>
    <x v="0"/>
    <x v="7"/>
    <n v="299000"/>
    <s v="CNY"/>
    <n v="43331"/>
    <n v="3601672.72"/>
    <s v="CN"/>
    <n v="0"/>
    <x v="19"/>
    <x v="2"/>
    <x v="1"/>
    <x v="1"/>
  </r>
  <r>
    <s v="EMP022"/>
    <x v="0"/>
    <x v="1"/>
    <x v="0"/>
    <x v="16"/>
    <n v="450000"/>
    <s v="INR"/>
    <n v="6072"/>
    <n v="504704.64"/>
    <s v="IN"/>
    <n v="100"/>
    <x v="3"/>
    <x v="0"/>
    <x v="0"/>
    <x v="1"/>
  </r>
  <r>
    <s v="EMP024"/>
    <x v="0"/>
    <x v="1"/>
    <x v="0"/>
    <x v="14"/>
    <n v="98000"/>
    <s v="USD"/>
    <n v="98000"/>
    <n v="8145760"/>
    <s v="US"/>
    <n v="0"/>
    <x v="0"/>
    <x v="2"/>
    <x v="1"/>
    <x v="1"/>
  </r>
  <r>
    <s v="EMP025"/>
    <x v="0"/>
    <x v="1"/>
    <x v="0"/>
    <x v="19"/>
    <n v="115000"/>
    <s v="USD"/>
    <n v="115000"/>
    <n v="9558800"/>
    <s v="AE"/>
    <n v="0"/>
    <x v="23"/>
    <x v="0"/>
    <x v="1"/>
    <x v="1"/>
  </r>
  <r>
    <s v="EMP031"/>
    <x v="0"/>
    <x v="1"/>
    <x v="0"/>
    <x v="20"/>
    <n v="51999"/>
    <s v="EUR"/>
    <n v="59303"/>
    <n v="4929265.3600000003"/>
    <s v="DE"/>
    <n v="100"/>
    <x v="6"/>
    <x v="1"/>
    <x v="0"/>
    <x v="1"/>
  </r>
  <r>
    <s v="EMP034"/>
    <x v="0"/>
    <x v="1"/>
    <x v="0"/>
    <x v="4"/>
    <n v="450000"/>
    <s v="USD"/>
    <n v="450000"/>
    <n v="37404000"/>
    <s v="US"/>
    <n v="0"/>
    <x v="0"/>
    <x v="2"/>
    <x v="1"/>
    <x v="1"/>
  </r>
  <r>
    <s v="EMP035"/>
    <x v="0"/>
    <x v="1"/>
    <x v="0"/>
    <x v="0"/>
    <n v="41000"/>
    <s v="EUR"/>
    <n v="46759"/>
    <n v="3886608.08"/>
    <s v="FR"/>
    <n v="50"/>
    <x v="1"/>
    <x v="0"/>
    <x v="2"/>
    <x v="1"/>
  </r>
  <r>
    <s v="EMP036"/>
    <x v="0"/>
    <x v="1"/>
    <x v="0"/>
    <x v="2"/>
    <n v="65000"/>
    <s v="EUR"/>
    <n v="74130"/>
    <n v="6161685.6000000006"/>
    <s v="AT"/>
    <n v="50"/>
    <x v="24"/>
    <x v="0"/>
    <x v="2"/>
    <x v="1"/>
  </r>
  <r>
    <s v="EMP037"/>
    <x v="0"/>
    <x v="1"/>
    <x v="0"/>
    <x v="3"/>
    <n v="103000"/>
    <s v="USD"/>
    <n v="103000"/>
    <n v="8561360"/>
    <s v="US"/>
    <n v="100"/>
    <x v="0"/>
    <x v="0"/>
    <x v="0"/>
    <x v="1"/>
  </r>
  <r>
    <s v="EMP041"/>
    <x v="0"/>
    <x v="1"/>
    <x v="0"/>
    <x v="1"/>
    <n v="45760"/>
    <s v="USD"/>
    <n v="45760"/>
    <n v="3803571.2"/>
    <s v="PH"/>
    <n v="100"/>
    <x v="0"/>
    <x v="1"/>
    <x v="0"/>
    <x v="1"/>
  </r>
  <r>
    <s v="EMP043"/>
    <x v="0"/>
    <x v="1"/>
    <x v="0"/>
    <x v="21"/>
    <n v="44000"/>
    <s v="EUR"/>
    <n v="50180"/>
    <n v="4170961.6"/>
    <s v="PT"/>
    <n v="0"/>
    <x v="25"/>
    <x v="2"/>
    <x v="1"/>
    <x v="1"/>
  </r>
  <r>
    <s v="EMP044"/>
    <x v="0"/>
    <x v="1"/>
    <x v="0"/>
    <x v="2"/>
    <n v="106000"/>
    <s v="USD"/>
    <n v="106000"/>
    <n v="8810720"/>
    <s v="US"/>
    <n v="100"/>
    <x v="0"/>
    <x v="0"/>
    <x v="0"/>
    <x v="1"/>
  </r>
  <r>
    <s v="EMP045"/>
    <x v="0"/>
    <x v="1"/>
    <x v="0"/>
    <x v="2"/>
    <n v="88000"/>
    <s v="GBP"/>
    <n v="112872"/>
    <n v="9381920.6400000006"/>
    <s v="GB"/>
    <n v="50"/>
    <x v="9"/>
    <x v="0"/>
    <x v="2"/>
    <x v="1"/>
  </r>
  <r>
    <s v="EMP047"/>
    <x v="0"/>
    <x v="1"/>
    <x v="0"/>
    <x v="1"/>
    <n v="60000"/>
    <s v="GBP"/>
    <n v="76958"/>
    <n v="6396748.96"/>
    <s v="GB"/>
    <n v="100"/>
    <x v="9"/>
    <x v="1"/>
    <x v="0"/>
    <x v="1"/>
  </r>
  <r>
    <s v="EMP049"/>
    <x v="0"/>
    <x v="1"/>
    <x v="0"/>
    <x v="1"/>
    <n v="105000"/>
    <s v="USD"/>
    <n v="105000"/>
    <n v="8727600"/>
    <s v="US"/>
    <n v="100"/>
    <x v="0"/>
    <x v="0"/>
    <x v="0"/>
    <x v="1"/>
  </r>
  <r>
    <s v="EMP050"/>
    <x v="0"/>
    <x v="1"/>
    <x v="0"/>
    <x v="2"/>
    <n v="61500"/>
    <s v="EUR"/>
    <n v="70139"/>
    <n v="5829953.6800000006"/>
    <s v="FR"/>
    <n v="50"/>
    <x v="1"/>
    <x v="0"/>
    <x v="2"/>
    <x v="1"/>
  </r>
  <r>
    <s v="EMP057"/>
    <x v="0"/>
    <x v="1"/>
    <x v="0"/>
    <x v="1"/>
    <n v="34000"/>
    <s v="EUR"/>
    <n v="38776"/>
    <n v="3223061.12"/>
    <s v="ES"/>
    <n v="100"/>
    <x v="10"/>
    <x v="2"/>
    <x v="0"/>
    <x v="1"/>
  </r>
  <r>
    <s v="EMP058"/>
    <x v="0"/>
    <x v="1"/>
    <x v="0"/>
    <x v="1"/>
    <n v="118000"/>
    <s v="USD"/>
    <n v="118000"/>
    <n v="9808160"/>
    <s v="US"/>
    <n v="100"/>
    <x v="0"/>
    <x v="2"/>
    <x v="0"/>
    <x v="1"/>
  </r>
  <r>
    <s v="EMP060"/>
    <x v="0"/>
    <x v="1"/>
    <x v="0"/>
    <x v="1"/>
    <n v="138350"/>
    <s v="USD"/>
    <n v="138350"/>
    <n v="11499652"/>
    <s v="US"/>
    <n v="100"/>
    <x v="0"/>
    <x v="2"/>
    <x v="0"/>
    <x v="1"/>
  </r>
  <r>
    <s v="EMP061"/>
    <x v="0"/>
    <x v="1"/>
    <x v="0"/>
    <x v="2"/>
    <n v="110000"/>
    <s v="USD"/>
    <n v="110000"/>
    <n v="9143200"/>
    <s v="US"/>
    <n v="100"/>
    <x v="0"/>
    <x v="0"/>
    <x v="0"/>
    <x v="1"/>
  </r>
  <r>
    <s v="EMP062"/>
    <x v="0"/>
    <x v="1"/>
    <x v="0"/>
    <x v="2"/>
    <n v="130800"/>
    <s v="USD"/>
    <n v="130800"/>
    <n v="10872096"/>
    <s v="ES"/>
    <n v="100"/>
    <x v="0"/>
    <x v="2"/>
    <x v="0"/>
    <x v="1"/>
  </r>
  <r>
    <s v="EMP071"/>
    <x v="0"/>
    <x v="1"/>
    <x v="0"/>
    <x v="1"/>
    <n v="55000"/>
    <s v="EUR"/>
    <n v="62726"/>
    <n v="5213785.12"/>
    <s v="FR"/>
    <n v="50"/>
    <x v="18"/>
    <x v="1"/>
    <x v="2"/>
    <x v="1"/>
  </r>
  <r>
    <s v="EMP072"/>
    <x v="0"/>
    <x v="1"/>
    <x v="0"/>
    <x v="1"/>
    <n v="37000"/>
    <s v="EUR"/>
    <n v="42197"/>
    <n v="3507414.64"/>
    <s v="FR"/>
    <n v="50"/>
    <x v="1"/>
    <x v="1"/>
    <x v="2"/>
    <x v="1"/>
  </r>
  <r>
    <s v="EMP077"/>
    <x v="1"/>
    <x v="1"/>
    <x v="0"/>
    <x v="14"/>
    <n v="100000"/>
    <s v="USD"/>
    <n v="100000"/>
    <n v="8312000"/>
    <s v="US"/>
    <n v="100"/>
    <x v="0"/>
    <x v="2"/>
    <x v="0"/>
    <x v="1"/>
  </r>
  <r>
    <s v="EMP078"/>
    <x v="1"/>
    <x v="1"/>
    <x v="2"/>
    <x v="22"/>
    <n v="400000"/>
    <s v="INR"/>
    <n v="5409"/>
    <n v="449596.08"/>
    <s v="IN"/>
    <n v="50"/>
    <x v="3"/>
    <x v="2"/>
    <x v="2"/>
    <x v="1"/>
  </r>
  <r>
    <s v="EMP079"/>
    <x v="1"/>
    <x v="1"/>
    <x v="1"/>
    <x v="8"/>
    <n v="270000"/>
    <s v="USD"/>
    <n v="270000"/>
    <n v="22442400"/>
    <s v="US"/>
    <n v="100"/>
    <x v="0"/>
    <x v="0"/>
    <x v="0"/>
    <x v="1"/>
  </r>
  <r>
    <s v="EMP082"/>
    <x v="1"/>
    <x v="1"/>
    <x v="0"/>
    <x v="2"/>
    <n v="140000"/>
    <s v="USD"/>
    <n v="140000"/>
    <n v="11636800"/>
    <s v="US"/>
    <n v="100"/>
    <x v="0"/>
    <x v="0"/>
    <x v="0"/>
    <x v="1"/>
  </r>
  <r>
    <s v="EMP083"/>
    <x v="1"/>
    <x v="1"/>
    <x v="0"/>
    <x v="12"/>
    <n v="68000"/>
    <s v="CAD"/>
    <n v="54238"/>
    <n v="4508262.5600000005"/>
    <s v="GB"/>
    <n v="50"/>
    <x v="26"/>
    <x v="0"/>
    <x v="2"/>
    <x v="1"/>
  </r>
  <r>
    <s v="EMP084"/>
    <x v="1"/>
    <x v="1"/>
    <x v="0"/>
    <x v="7"/>
    <n v="40000"/>
    <s v="EUR"/>
    <n v="47282"/>
    <n v="3930079.8400000003"/>
    <s v="ES"/>
    <n v="100"/>
    <x v="10"/>
    <x v="1"/>
    <x v="0"/>
    <x v="1"/>
  </r>
  <r>
    <s v="EMP086"/>
    <x v="1"/>
    <x v="1"/>
    <x v="0"/>
    <x v="2"/>
    <n v="110000"/>
    <s v="PLN"/>
    <n v="28476"/>
    <n v="2366925.12"/>
    <s v="PL"/>
    <n v="100"/>
    <x v="27"/>
    <x v="0"/>
    <x v="0"/>
    <x v="1"/>
  </r>
  <r>
    <s v="EMP088"/>
    <x v="1"/>
    <x v="1"/>
    <x v="0"/>
    <x v="23"/>
    <n v="110000"/>
    <s v="USD"/>
    <n v="110000"/>
    <n v="9143200"/>
    <s v="US"/>
    <n v="100"/>
    <x v="0"/>
    <x v="0"/>
    <x v="0"/>
    <x v="1"/>
  </r>
  <r>
    <s v="EMP093"/>
    <x v="1"/>
    <x v="1"/>
    <x v="0"/>
    <x v="17"/>
    <n v="1450000"/>
    <s v="INR"/>
    <n v="19609"/>
    <n v="1629900.08"/>
    <s v="IN"/>
    <n v="100"/>
    <x v="3"/>
    <x v="0"/>
    <x v="0"/>
    <x v="1"/>
  </r>
  <r>
    <s v="EMP096"/>
    <x v="1"/>
    <x v="1"/>
    <x v="0"/>
    <x v="24"/>
    <n v="120000"/>
    <s v="SGD"/>
    <n v="89294"/>
    <n v="7422117.2800000003"/>
    <s v="SG"/>
    <n v="50"/>
    <x v="28"/>
    <x v="0"/>
    <x v="2"/>
    <x v="1"/>
  </r>
  <r>
    <s v="EMP098"/>
    <x v="1"/>
    <x v="1"/>
    <x v="0"/>
    <x v="25"/>
    <n v="450000"/>
    <s v="USD"/>
    <n v="450000"/>
    <n v="37404000"/>
    <s v="US"/>
    <n v="100"/>
    <x v="0"/>
    <x v="0"/>
    <x v="0"/>
    <x v="1"/>
  </r>
  <r>
    <s v="EMP100"/>
    <x v="1"/>
    <x v="1"/>
    <x v="0"/>
    <x v="10"/>
    <n v="81000"/>
    <s v="EUR"/>
    <n v="95746"/>
    <n v="7958407.5200000005"/>
    <s v="DE"/>
    <n v="100"/>
    <x v="0"/>
    <x v="1"/>
    <x v="0"/>
    <x v="1"/>
  </r>
  <r>
    <s v="EMP101"/>
    <x v="1"/>
    <x v="1"/>
    <x v="0"/>
    <x v="0"/>
    <n v="75000"/>
    <s v="USD"/>
    <n v="75000"/>
    <n v="6234000"/>
    <s v="US"/>
    <n v="0"/>
    <x v="0"/>
    <x v="0"/>
    <x v="1"/>
    <x v="1"/>
  </r>
  <r>
    <s v="EMP103"/>
    <x v="1"/>
    <x v="1"/>
    <x v="0"/>
    <x v="14"/>
    <n v="11000000"/>
    <s v="HUF"/>
    <n v="36259"/>
    <n v="3013848.08"/>
    <s v="HU"/>
    <n v="50"/>
    <x v="0"/>
    <x v="0"/>
    <x v="2"/>
    <x v="1"/>
  </r>
  <r>
    <s v="EMP104"/>
    <x v="1"/>
    <x v="1"/>
    <x v="0"/>
    <x v="0"/>
    <n v="62000"/>
    <s v="USD"/>
    <n v="62000"/>
    <n v="5153440"/>
    <s v="US"/>
    <n v="0"/>
    <x v="0"/>
    <x v="0"/>
    <x v="1"/>
    <x v="1"/>
  </r>
  <r>
    <s v="EMP105"/>
    <x v="1"/>
    <x v="1"/>
    <x v="0"/>
    <x v="1"/>
    <n v="73000"/>
    <s v="USD"/>
    <n v="73000"/>
    <n v="6067760"/>
    <s v="US"/>
    <n v="0"/>
    <x v="0"/>
    <x v="0"/>
    <x v="1"/>
    <x v="1"/>
  </r>
  <r>
    <s v="EMP106"/>
    <x v="1"/>
    <x v="1"/>
    <x v="0"/>
    <x v="0"/>
    <n v="37456"/>
    <s v="GBP"/>
    <n v="51519"/>
    <n v="4282259.28"/>
    <s v="GB"/>
    <n v="50"/>
    <x v="9"/>
    <x v="0"/>
    <x v="2"/>
    <x v="1"/>
  </r>
  <r>
    <s v="EMP107"/>
    <x v="1"/>
    <x v="1"/>
    <x v="0"/>
    <x v="4"/>
    <n v="235000"/>
    <s v="CAD"/>
    <n v="187442"/>
    <n v="15580179.040000001"/>
    <s v="CA"/>
    <n v="100"/>
    <x v="26"/>
    <x v="0"/>
    <x v="0"/>
    <x v="1"/>
  </r>
  <r>
    <s v="EMP115"/>
    <x v="1"/>
    <x v="1"/>
    <x v="0"/>
    <x v="2"/>
    <n v="38400"/>
    <s v="EUR"/>
    <n v="45391"/>
    <n v="3772899.9200000004"/>
    <s v="NL"/>
    <n v="100"/>
    <x v="4"/>
    <x v="0"/>
    <x v="0"/>
    <x v="1"/>
  </r>
  <r>
    <s v="EMP117"/>
    <x v="1"/>
    <x v="1"/>
    <x v="0"/>
    <x v="1"/>
    <n v="50000"/>
    <s v="USD"/>
    <n v="50000"/>
    <n v="4156000"/>
    <s v="NG"/>
    <n v="100"/>
    <x v="5"/>
    <x v="0"/>
    <x v="0"/>
    <x v="1"/>
  </r>
  <r>
    <s v="EMP118"/>
    <x v="1"/>
    <x v="1"/>
    <x v="0"/>
    <x v="26"/>
    <n v="34000"/>
    <s v="EUR"/>
    <n v="40189"/>
    <n v="3340509.68"/>
    <s v="GR"/>
    <n v="100"/>
    <x v="29"/>
    <x v="2"/>
    <x v="0"/>
    <x v="1"/>
  </r>
  <r>
    <s v="EMP120"/>
    <x v="1"/>
    <x v="1"/>
    <x v="0"/>
    <x v="2"/>
    <n v="200000"/>
    <s v="USD"/>
    <n v="200000"/>
    <n v="16624000"/>
    <s v="US"/>
    <n v="100"/>
    <x v="0"/>
    <x v="0"/>
    <x v="0"/>
    <x v="1"/>
  </r>
  <r>
    <s v="EMP121"/>
    <x v="1"/>
    <x v="1"/>
    <x v="0"/>
    <x v="6"/>
    <n v="60000"/>
    <s v="USD"/>
    <n v="60000"/>
    <n v="4987200"/>
    <s v="ES"/>
    <n v="50"/>
    <x v="30"/>
    <x v="2"/>
    <x v="2"/>
    <x v="1"/>
  </r>
  <r>
    <s v="EMP126"/>
    <x v="1"/>
    <x v="1"/>
    <x v="0"/>
    <x v="27"/>
    <n v="151000"/>
    <s v="USD"/>
    <n v="151000"/>
    <n v="12551120"/>
    <s v="US"/>
    <n v="100"/>
    <x v="0"/>
    <x v="0"/>
    <x v="0"/>
    <x v="1"/>
  </r>
  <r>
    <s v="EMP128"/>
    <x v="1"/>
    <x v="1"/>
    <x v="0"/>
    <x v="1"/>
    <n v="700000"/>
    <s v="INR"/>
    <n v="9466"/>
    <n v="786813.92"/>
    <s v="IN"/>
    <n v="0"/>
    <x v="3"/>
    <x v="1"/>
    <x v="1"/>
    <x v="1"/>
  </r>
  <r>
    <s v="EMP133"/>
    <x v="1"/>
    <x v="1"/>
    <x v="0"/>
    <x v="28"/>
    <n v="38400"/>
    <s v="USD"/>
    <n v="38400"/>
    <n v="3191808"/>
    <s v="VN"/>
    <n v="100"/>
    <x v="0"/>
    <x v="2"/>
    <x v="0"/>
    <x v="1"/>
  </r>
  <r>
    <s v="EMP136"/>
    <x v="1"/>
    <x v="1"/>
    <x v="0"/>
    <x v="0"/>
    <n v="90000"/>
    <s v="USD"/>
    <n v="90000"/>
    <n v="7480800"/>
    <s v="US"/>
    <n v="100"/>
    <x v="0"/>
    <x v="2"/>
    <x v="0"/>
    <x v="1"/>
  </r>
  <r>
    <s v="EMP137"/>
    <x v="1"/>
    <x v="1"/>
    <x v="0"/>
    <x v="8"/>
    <n v="7000000"/>
    <s v="JPY"/>
    <n v="63711"/>
    <n v="5295658.32"/>
    <s v="JP"/>
    <n v="50"/>
    <x v="2"/>
    <x v="1"/>
    <x v="2"/>
    <x v="1"/>
  </r>
  <r>
    <s v="EMP138"/>
    <x v="1"/>
    <x v="1"/>
    <x v="0"/>
    <x v="8"/>
    <n v="8500000"/>
    <s v="JPY"/>
    <n v="77364"/>
    <n v="6430495.6800000006"/>
    <s v="JP"/>
    <n v="50"/>
    <x v="2"/>
    <x v="1"/>
    <x v="2"/>
    <x v="1"/>
  </r>
  <r>
    <s v="EMP141"/>
    <x v="1"/>
    <x v="1"/>
    <x v="0"/>
    <x v="0"/>
    <n v="135000"/>
    <s v="USD"/>
    <n v="135000"/>
    <n v="11221200"/>
    <s v="US"/>
    <n v="100"/>
    <x v="0"/>
    <x v="0"/>
    <x v="0"/>
    <x v="1"/>
  </r>
  <r>
    <s v="EMP144"/>
    <x v="1"/>
    <x v="1"/>
    <x v="0"/>
    <x v="1"/>
    <n v="82500"/>
    <s v="USD"/>
    <n v="82500"/>
    <n v="6857400"/>
    <s v="US"/>
    <n v="100"/>
    <x v="0"/>
    <x v="1"/>
    <x v="0"/>
    <x v="1"/>
  </r>
  <r>
    <s v="EMP145"/>
    <x v="1"/>
    <x v="1"/>
    <x v="0"/>
    <x v="2"/>
    <n v="100000"/>
    <s v="USD"/>
    <n v="100000"/>
    <n v="8312000"/>
    <s v="US"/>
    <n v="100"/>
    <x v="0"/>
    <x v="0"/>
    <x v="0"/>
    <x v="1"/>
  </r>
  <r>
    <s v="EMP147"/>
    <x v="1"/>
    <x v="1"/>
    <x v="0"/>
    <x v="4"/>
    <n v="53000"/>
    <s v="EUR"/>
    <n v="62649"/>
    <n v="5207384.88"/>
    <s v="FR"/>
    <n v="50"/>
    <x v="1"/>
    <x v="2"/>
    <x v="2"/>
    <x v="1"/>
  </r>
  <r>
    <s v="EMP148"/>
    <x v="1"/>
    <x v="1"/>
    <x v="0"/>
    <x v="2"/>
    <n v="90000"/>
    <s v="USD"/>
    <n v="90000"/>
    <n v="7480800"/>
    <s v="US"/>
    <n v="100"/>
    <x v="0"/>
    <x v="0"/>
    <x v="0"/>
    <x v="1"/>
  </r>
  <r>
    <s v="EMP152"/>
    <x v="1"/>
    <x v="1"/>
    <x v="0"/>
    <x v="1"/>
    <n v="150000"/>
    <s v="USD"/>
    <n v="150000"/>
    <n v="12468000"/>
    <s v="US"/>
    <n v="100"/>
    <x v="0"/>
    <x v="2"/>
    <x v="0"/>
    <x v="1"/>
  </r>
  <r>
    <s v="EMP153"/>
    <x v="1"/>
    <x v="1"/>
    <x v="0"/>
    <x v="1"/>
    <n v="95000"/>
    <s v="CAD"/>
    <n v="75774"/>
    <n v="6298334.8799999999"/>
    <s v="CA"/>
    <n v="100"/>
    <x v="26"/>
    <x v="0"/>
    <x v="0"/>
    <x v="1"/>
  </r>
  <r>
    <s v="EMP157"/>
    <x v="1"/>
    <x v="1"/>
    <x v="0"/>
    <x v="1"/>
    <n v="160000"/>
    <s v="SGD"/>
    <n v="119059"/>
    <n v="9896184.0800000001"/>
    <s v="SG"/>
    <n v="100"/>
    <x v="31"/>
    <x v="2"/>
    <x v="0"/>
    <x v="1"/>
  </r>
  <r>
    <s v="EMP158"/>
    <x v="1"/>
    <x v="1"/>
    <x v="0"/>
    <x v="28"/>
    <n v="423000"/>
    <s v="USD"/>
    <n v="423000"/>
    <n v="35159760"/>
    <s v="US"/>
    <n v="50"/>
    <x v="0"/>
    <x v="0"/>
    <x v="2"/>
    <x v="1"/>
  </r>
  <r>
    <s v="EMP163"/>
    <x v="1"/>
    <x v="1"/>
    <x v="0"/>
    <x v="2"/>
    <n v="24000"/>
    <s v="EUR"/>
    <n v="28369"/>
    <n v="2358031.2800000003"/>
    <s v="MT"/>
    <n v="50"/>
    <x v="32"/>
    <x v="0"/>
    <x v="2"/>
    <x v="1"/>
  </r>
  <r>
    <s v="EMP170"/>
    <x v="1"/>
    <x v="1"/>
    <x v="0"/>
    <x v="29"/>
    <n v="150000"/>
    <s v="USD"/>
    <n v="150000"/>
    <n v="12468000"/>
    <s v="US"/>
    <n v="100"/>
    <x v="0"/>
    <x v="0"/>
    <x v="0"/>
    <x v="1"/>
  </r>
  <r>
    <s v="EMP171"/>
    <x v="1"/>
    <x v="1"/>
    <x v="0"/>
    <x v="29"/>
    <n v="170000"/>
    <s v="USD"/>
    <n v="170000"/>
    <n v="14130400"/>
    <s v="US"/>
    <n v="100"/>
    <x v="0"/>
    <x v="0"/>
    <x v="0"/>
    <x v="1"/>
  </r>
  <r>
    <s v="EMP172"/>
    <x v="1"/>
    <x v="1"/>
    <x v="0"/>
    <x v="2"/>
    <n v="60000"/>
    <s v="GBP"/>
    <n v="82528"/>
    <n v="6859727.3600000003"/>
    <s v="GB"/>
    <n v="100"/>
    <x v="9"/>
    <x v="0"/>
    <x v="0"/>
    <x v="1"/>
  </r>
  <r>
    <s v="EMP177"/>
    <x v="1"/>
    <x v="1"/>
    <x v="0"/>
    <x v="1"/>
    <n v="58000"/>
    <s v="MXN"/>
    <n v="2859"/>
    <n v="237640.08000000002"/>
    <s v="MX"/>
    <n v="0"/>
    <x v="33"/>
    <x v="1"/>
    <x v="1"/>
    <x v="1"/>
  </r>
  <r>
    <s v="EMP178"/>
    <x v="1"/>
    <x v="1"/>
    <x v="0"/>
    <x v="1"/>
    <n v="30400000"/>
    <s v="CLP"/>
    <n v="40038"/>
    <n v="3327958.56"/>
    <s v="CL"/>
    <n v="100"/>
    <x v="34"/>
    <x v="0"/>
    <x v="0"/>
    <x v="1"/>
  </r>
  <r>
    <s v="EMP180"/>
    <x v="1"/>
    <x v="1"/>
    <x v="0"/>
    <x v="1"/>
    <n v="420000"/>
    <s v="INR"/>
    <n v="5679"/>
    <n v="472038.48000000004"/>
    <s v="IN"/>
    <n v="100"/>
    <x v="0"/>
    <x v="1"/>
    <x v="0"/>
    <x v="1"/>
  </r>
  <r>
    <s v="EMP181"/>
    <x v="1"/>
    <x v="1"/>
    <x v="0"/>
    <x v="6"/>
    <n v="1672000"/>
    <s v="INR"/>
    <n v="22611"/>
    <n v="1879426.32"/>
    <s v="IN"/>
    <n v="0"/>
    <x v="3"/>
    <x v="0"/>
    <x v="1"/>
    <x v="1"/>
  </r>
  <r>
    <s v="EMP182"/>
    <x v="1"/>
    <x v="1"/>
    <x v="0"/>
    <x v="1"/>
    <n v="76760"/>
    <s v="EUR"/>
    <n v="90734"/>
    <n v="7541810.0800000001"/>
    <s v="DE"/>
    <n v="50"/>
    <x v="6"/>
    <x v="0"/>
    <x v="2"/>
    <x v="1"/>
  </r>
  <r>
    <s v="EMP183"/>
    <x v="1"/>
    <x v="1"/>
    <x v="0"/>
    <x v="2"/>
    <n v="22000"/>
    <s v="EUR"/>
    <n v="26005"/>
    <n v="2161535.6"/>
    <s v="RO"/>
    <n v="0"/>
    <x v="0"/>
    <x v="0"/>
    <x v="1"/>
    <x v="1"/>
  </r>
  <r>
    <s v="EMP185"/>
    <x v="1"/>
    <x v="1"/>
    <x v="3"/>
    <x v="11"/>
    <n v="12000"/>
    <s v="USD"/>
    <n v="12000"/>
    <n v="997440"/>
    <s v="PK"/>
    <n v="50"/>
    <x v="22"/>
    <x v="2"/>
    <x v="2"/>
    <x v="1"/>
  </r>
  <r>
    <s v="EMP186"/>
    <x v="1"/>
    <x v="1"/>
    <x v="0"/>
    <x v="2"/>
    <n v="4000"/>
    <s v="USD"/>
    <n v="4000"/>
    <n v="332480"/>
    <s v="IR"/>
    <n v="100"/>
    <x v="35"/>
    <x v="2"/>
    <x v="0"/>
    <x v="1"/>
  </r>
  <r>
    <s v="EMP190"/>
    <x v="1"/>
    <x v="1"/>
    <x v="0"/>
    <x v="7"/>
    <n v="74000"/>
    <s v="USD"/>
    <n v="74000"/>
    <n v="6150880"/>
    <s v="JP"/>
    <n v="50"/>
    <x v="2"/>
    <x v="1"/>
    <x v="2"/>
    <x v="1"/>
  </r>
  <r>
    <s v="EMP193"/>
    <x v="1"/>
    <x v="1"/>
    <x v="0"/>
    <x v="6"/>
    <n v="18000"/>
    <s v="USD"/>
    <n v="18000"/>
    <n v="1496160"/>
    <s v="MD"/>
    <n v="0"/>
    <x v="36"/>
    <x v="1"/>
    <x v="1"/>
    <x v="1"/>
  </r>
  <r>
    <s v="EMP196"/>
    <x v="1"/>
    <x v="1"/>
    <x v="0"/>
    <x v="1"/>
    <n v="147000"/>
    <s v="USD"/>
    <n v="147000"/>
    <n v="12218640"/>
    <s v="US"/>
    <n v="50"/>
    <x v="0"/>
    <x v="0"/>
    <x v="2"/>
    <x v="1"/>
  </r>
  <r>
    <s v="EMP201"/>
    <x v="1"/>
    <x v="1"/>
    <x v="0"/>
    <x v="1"/>
    <n v="52000"/>
    <s v="EUR"/>
    <n v="61467"/>
    <n v="5109137.04"/>
    <s v="DE"/>
    <n v="50"/>
    <x v="24"/>
    <x v="2"/>
    <x v="2"/>
    <x v="1"/>
  </r>
  <r>
    <s v="EMP203"/>
    <x v="1"/>
    <x v="1"/>
    <x v="0"/>
    <x v="1"/>
    <n v="32000"/>
    <s v="EUR"/>
    <n v="37825"/>
    <n v="3144014"/>
    <s v="ES"/>
    <n v="100"/>
    <x v="10"/>
    <x v="0"/>
    <x v="0"/>
    <x v="1"/>
  </r>
  <r>
    <s v="EMP205"/>
    <x v="1"/>
    <x v="1"/>
    <x v="0"/>
    <x v="1"/>
    <n v="160000"/>
    <s v="USD"/>
    <n v="160000"/>
    <n v="13299200"/>
    <s v="US"/>
    <n v="100"/>
    <x v="0"/>
    <x v="0"/>
    <x v="0"/>
    <x v="1"/>
  </r>
  <r>
    <s v="EMP206"/>
    <x v="1"/>
    <x v="1"/>
    <x v="0"/>
    <x v="1"/>
    <n v="69600"/>
    <s v="BRL"/>
    <n v="12901"/>
    <n v="1072331.1200000001"/>
    <s v="BR"/>
    <n v="0"/>
    <x v="37"/>
    <x v="1"/>
    <x v="1"/>
    <x v="1"/>
  </r>
  <r>
    <s v="EMP209"/>
    <x v="1"/>
    <x v="1"/>
    <x v="3"/>
    <x v="2"/>
    <n v="20000"/>
    <s v="USD"/>
    <n v="20000"/>
    <n v="1662400"/>
    <s v="IT"/>
    <n v="0"/>
    <x v="0"/>
    <x v="0"/>
    <x v="1"/>
    <x v="1"/>
  </r>
  <r>
    <s v="EMP211"/>
    <x v="1"/>
    <x v="1"/>
    <x v="0"/>
    <x v="7"/>
    <n v="21000"/>
    <s v="EUR"/>
    <n v="24823"/>
    <n v="2063287.76"/>
    <s v="SI"/>
    <n v="50"/>
    <x v="38"/>
    <x v="0"/>
    <x v="2"/>
    <x v="1"/>
  </r>
  <r>
    <s v="EMP212"/>
    <x v="1"/>
    <x v="1"/>
    <x v="0"/>
    <x v="4"/>
    <n v="48000"/>
    <s v="EUR"/>
    <n v="56738"/>
    <n v="4716062.5600000005"/>
    <s v="FR"/>
    <n v="50"/>
    <x v="1"/>
    <x v="1"/>
    <x v="2"/>
    <x v="1"/>
  </r>
  <r>
    <s v="EMP213"/>
    <x v="1"/>
    <x v="1"/>
    <x v="0"/>
    <x v="2"/>
    <n v="48000"/>
    <s v="GBP"/>
    <n v="66022"/>
    <n v="5487748.6400000006"/>
    <s v="HK"/>
    <n v="50"/>
    <x v="9"/>
    <x v="1"/>
    <x v="2"/>
    <x v="1"/>
  </r>
  <r>
    <s v="EMP218"/>
    <x v="1"/>
    <x v="1"/>
    <x v="0"/>
    <x v="1"/>
    <n v="76760"/>
    <s v="EUR"/>
    <n v="90734"/>
    <n v="7541810.0800000001"/>
    <s v="DE"/>
    <n v="50"/>
    <x v="6"/>
    <x v="0"/>
    <x v="2"/>
    <x v="1"/>
  </r>
  <r>
    <s v="EMP219"/>
    <x v="1"/>
    <x v="1"/>
    <x v="0"/>
    <x v="7"/>
    <n v="75000"/>
    <s v="EUR"/>
    <n v="88654"/>
    <n v="7368920.4800000004"/>
    <s v="BE"/>
    <n v="100"/>
    <x v="39"/>
    <x v="2"/>
    <x v="0"/>
    <x v="1"/>
  </r>
  <r>
    <s v="EMP221"/>
    <x v="1"/>
    <x v="1"/>
    <x v="0"/>
    <x v="7"/>
    <n v="180000"/>
    <s v="PLN"/>
    <n v="46597"/>
    <n v="3873142.64"/>
    <s v="PL"/>
    <n v="100"/>
    <x v="27"/>
    <x v="0"/>
    <x v="0"/>
    <x v="1"/>
  </r>
  <r>
    <s v="EMP222"/>
    <x v="1"/>
    <x v="1"/>
    <x v="0"/>
    <x v="1"/>
    <n v="85000"/>
    <s v="GBP"/>
    <n v="116914"/>
    <n v="9717891.6799999997"/>
    <s v="GB"/>
    <n v="50"/>
    <x v="9"/>
    <x v="0"/>
    <x v="2"/>
    <x v="1"/>
  </r>
  <r>
    <s v="EMP223"/>
    <x v="1"/>
    <x v="1"/>
    <x v="0"/>
    <x v="1"/>
    <n v="2500000"/>
    <s v="INR"/>
    <n v="33808"/>
    <n v="2810120.96"/>
    <s v="IN"/>
    <n v="0"/>
    <x v="3"/>
    <x v="2"/>
    <x v="1"/>
    <x v="1"/>
  </r>
  <r>
    <s v="EMP224"/>
    <x v="1"/>
    <x v="1"/>
    <x v="0"/>
    <x v="1"/>
    <n v="40900"/>
    <s v="GBP"/>
    <n v="56256"/>
    <n v="4675998.7200000007"/>
    <s v="GB"/>
    <n v="50"/>
    <x v="9"/>
    <x v="0"/>
    <x v="2"/>
    <x v="1"/>
  </r>
  <r>
    <s v="EMP228"/>
    <x v="1"/>
    <x v="1"/>
    <x v="0"/>
    <x v="1"/>
    <n v="75000"/>
    <s v="EUR"/>
    <n v="88654"/>
    <n v="7368920.4800000004"/>
    <s v="DE"/>
    <n v="50"/>
    <x v="6"/>
    <x v="0"/>
    <x v="2"/>
    <x v="1"/>
  </r>
  <r>
    <s v="EMP235"/>
    <x v="1"/>
    <x v="1"/>
    <x v="0"/>
    <x v="29"/>
    <n v="180000"/>
    <s v="USD"/>
    <n v="180000"/>
    <n v="14961600"/>
    <s v="US"/>
    <n v="100"/>
    <x v="0"/>
    <x v="0"/>
    <x v="0"/>
    <x v="1"/>
  </r>
  <r>
    <s v="EMP236"/>
    <x v="1"/>
    <x v="1"/>
    <x v="0"/>
    <x v="30"/>
    <n v="110000"/>
    <s v="USD"/>
    <n v="110000"/>
    <n v="9143200"/>
    <s v="US"/>
    <n v="0"/>
    <x v="0"/>
    <x v="1"/>
    <x v="1"/>
    <x v="1"/>
  </r>
  <r>
    <s v="EMP237"/>
    <x v="1"/>
    <x v="1"/>
    <x v="0"/>
    <x v="4"/>
    <n v="80000"/>
    <s v="CAD"/>
    <n v="63810"/>
    <n v="5303887.2"/>
    <s v="CA"/>
    <n v="100"/>
    <x v="26"/>
    <x v="2"/>
    <x v="0"/>
    <x v="1"/>
  </r>
  <r>
    <s v="EMP238"/>
    <x v="1"/>
    <x v="1"/>
    <x v="0"/>
    <x v="1"/>
    <n v="39600"/>
    <s v="EUR"/>
    <n v="46809"/>
    <n v="3890764.08"/>
    <s v="ES"/>
    <n v="100"/>
    <x v="10"/>
    <x v="2"/>
    <x v="0"/>
    <x v="1"/>
  </r>
  <r>
    <s v="EMP242"/>
    <x v="1"/>
    <x v="1"/>
    <x v="0"/>
    <x v="0"/>
    <n v="80000"/>
    <s v="USD"/>
    <n v="80000"/>
    <n v="6649600"/>
    <s v="US"/>
    <n v="100"/>
    <x v="0"/>
    <x v="0"/>
    <x v="0"/>
    <x v="1"/>
  </r>
  <r>
    <s v="EMP243"/>
    <x v="1"/>
    <x v="1"/>
    <x v="0"/>
    <x v="2"/>
    <n v="110000"/>
    <s v="USD"/>
    <n v="110000"/>
    <n v="9143200"/>
    <s v="US"/>
    <n v="100"/>
    <x v="0"/>
    <x v="0"/>
    <x v="0"/>
    <x v="1"/>
  </r>
  <r>
    <s v="EMP246"/>
    <x v="1"/>
    <x v="1"/>
    <x v="0"/>
    <x v="2"/>
    <n v="52500"/>
    <s v="GBP"/>
    <n v="72212"/>
    <n v="6002261.4400000004"/>
    <s v="GB"/>
    <n v="50"/>
    <x v="9"/>
    <x v="0"/>
    <x v="2"/>
    <x v="1"/>
  </r>
  <r>
    <s v="EMP248"/>
    <x v="1"/>
    <x v="1"/>
    <x v="0"/>
    <x v="2"/>
    <n v="108000"/>
    <s v="TRY"/>
    <n v="12103"/>
    <n v="1006001.3600000001"/>
    <s v="TR"/>
    <n v="0"/>
    <x v="40"/>
    <x v="2"/>
    <x v="1"/>
    <x v="1"/>
  </r>
  <r>
    <s v="EMP251"/>
    <x v="1"/>
    <x v="1"/>
    <x v="0"/>
    <x v="1"/>
    <n v="115000"/>
    <s v="USD"/>
    <n v="115000"/>
    <n v="9558800"/>
    <s v="US"/>
    <n v="50"/>
    <x v="0"/>
    <x v="0"/>
    <x v="2"/>
    <x v="1"/>
  </r>
  <r>
    <s v="EMP255"/>
    <x v="1"/>
    <x v="1"/>
    <x v="0"/>
    <x v="0"/>
    <n v="93000"/>
    <s v="USD"/>
    <n v="93000"/>
    <n v="7730160"/>
    <s v="US"/>
    <n v="100"/>
    <x v="0"/>
    <x v="0"/>
    <x v="0"/>
    <x v="1"/>
  </r>
  <r>
    <s v="EMP257"/>
    <x v="1"/>
    <x v="1"/>
    <x v="0"/>
    <x v="2"/>
    <n v="200000"/>
    <s v="USD"/>
    <n v="200000"/>
    <n v="16624000"/>
    <s v="US"/>
    <n v="100"/>
    <x v="0"/>
    <x v="0"/>
    <x v="0"/>
    <x v="1"/>
  </r>
  <r>
    <s v="EMP261"/>
    <x v="1"/>
    <x v="1"/>
    <x v="0"/>
    <x v="1"/>
    <n v="130000"/>
    <s v="USD"/>
    <n v="130000"/>
    <n v="10805600"/>
    <s v="US"/>
    <n v="50"/>
    <x v="0"/>
    <x v="0"/>
    <x v="2"/>
    <x v="1"/>
  </r>
  <r>
    <s v="EMP263"/>
    <x v="1"/>
    <x v="1"/>
    <x v="0"/>
    <x v="1"/>
    <n v="1250000"/>
    <s v="INR"/>
    <n v="16904"/>
    <n v="1405060.48"/>
    <s v="IN"/>
    <n v="100"/>
    <x v="3"/>
    <x v="1"/>
    <x v="0"/>
    <x v="1"/>
  </r>
  <r>
    <s v="EMP265"/>
    <x v="1"/>
    <x v="1"/>
    <x v="0"/>
    <x v="1"/>
    <n v="21600"/>
    <s v="EUR"/>
    <n v="25532"/>
    <n v="2122219.8400000003"/>
    <s v="RS"/>
    <n v="100"/>
    <x v="6"/>
    <x v="1"/>
    <x v="0"/>
    <x v="1"/>
  </r>
  <r>
    <s v="EMP267"/>
    <x v="1"/>
    <x v="1"/>
    <x v="0"/>
    <x v="2"/>
    <n v="93150"/>
    <s v="USD"/>
    <n v="93150"/>
    <n v="7742628"/>
    <s v="US"/>
    <n v="0"/>
    <x v="0"/>
    <x v="2"/>
    <x v="1"/>
    <x v="1"/>
  </r>
  <r>
    <s v="EMP268"/>
    <x v="1"/>
    <x v="1"/>
    <x v="0"/>
    <x v="2"/>
    <n v="111775"/>
    <s v="USD"/>
    <n v="111775"/>
    <n v="9290738"/>
    <s v="US"/>
    <n v="0"/>
    <x v="0"/>
    <x v="2"/>
    <x v="1"/>
    <x v="1"/>
  </r>
  <r>
    <s v="EMP269"/>
    <x v="1"/>
    <x v="1"/>
    <x v="0"/>
    <x v="2"/>
    <n v="250000"/>
    <s v="TRY"/>
    <n v="28016"/>
    <n v="2328689.92"/>
    <s v="TR"/>
    <n v="100"/>
    <x v="40"/>
    <x v="2"/>
    <x v="0"/>
    <x v="1"/>
  </r>
  <r>
    <s v="EMP281"/>
    <x v="1"/>
    <x v="1"/>
    <x v="0"/>
    <x v="2"/>
    <n v="112000"/>
    <s v="USD"/>
    <n v="112000"/>
    <n v="9309440"/>
    <s v="US"/>
    <n v="100"/>
    <x v="0"/>
    <x v="0"/>
    <x v="0"/>
    <x v="1"/>
  </r>
  <r>
    <s v="EMP283"/>
    <x v="1"/>
    <x v="1"/>
    <x v="2"/>
    <x v="2"/>
    <n v="59000"/>
    <s v="EUR"/>
    <n v="69741"/>
    <n v="5796871.9199999999"/>
    <s v="NL"/>
    <n v="100"/>
    <x v="4"/>
    <x v="0"/>
    <x v="0"/>
    <x v="1"/>
  </r>
  <r>
    <s v="EMP285"/>
    <x v="1"/>
    <x v="1"/>
    <x v="0"/>
    <x v="4"/>
    <n v="69999"/>
    <s v="USD"/>
    <n v="69999"/>
    <n v="5818316.8799999999"/>
    <s v="CZ"/>
    <n v="50"/>
    <x v="41"/>
    <x v="0"/>
    <x v="2"/>
    <x v="1"/>
  </r>
  <r>
    <s v="EMP288"/>
    <x v="1"/>
    <x v="1"/>
    <x v="0"/>
    <x v="1"/>
    <n v="109000"/>
    <s v="USD"/>
    <n v="109000"/>
    <n v="9060080"/>
    <s v="US"/>
    <n v="50"/>
    <x v="0"/>
    <x v="0"/>
    <x v="2"/>
    <x v="1"/>
  </r>
  <r>
    <s v="EMP289"/>
    <x v="1"/>
    <x v="1"/>
    <x v="0"/>
    <x v="7"/>
    <n v="43200"/>
    <s v="EUR"/>
    <n v="51064"/>
    <n v="4244439.6800000006"/>
    <s v="IT"/>
    <n v="50"/>
    <x v="8"/>
    <x v="0"/>
    <x v="2"/>
    <x v="1"/>
  </r>
  <r>
    <s v="EMP293"/>
    <x v="2"/>
    <x v="1"/>
    <x v="0"/>
    <x v="1"/>
    <n v="130000"/>
    <s v="USD"/>
    <n v="130000"/>
    <n v="10805600"/>
    <s v="US"/>
    <n v="0"/>
    <x v="0"/>
    <x v="2"/>
    <x v="1"/>
    <x v="1"/>
  </r>
  <r>
    <s v="EMP294"/>
    <x v="2"/>
    <x v="1"/>
    <x v="0"/>
    <x v="1"/>
    <n v="90000"/>
    <s v="USD"/>
    <n v="90000"/>
    <n v="7480800"/>
    <s v="US"/>
    <n v="0"/>
    <x v="0"/>
    <x v="2"/>
    <x v="1"/>
    <x v="1"/>
  </r>
  <r>
    <s v="EMP295"/>
    <x v="2"/>
    <x v="1"/>
    <x v="0"/>
    <x v="2"/>
    <n v="170000"/>
    <s v="USD"/>
    <n v="170000"/>
    <n v="14130400"/>
    <s v="US"/>
    <n v="100"/>
    <x v="0"/>
    <x v="2"/>
    <x v="0"/>
    <x v="1"/>
  </r>
  <r>
    <s v="EMP296"/>
    <x v="2"/>
    <x v="1"/>
    <x v="0"/>
    <x v="2"/>
    <n v="150000"/>
    <s v="USD"/>
    <n v="150000"/>
    <n v="12468000"/>
    <s v="US"/>
    <n v="100"/>
    <x v="0"/>
    <x v="2"/>
    <x v="0"/>
    <x v="1"/>
  </r>
  <r>
    <s v="EMP002"/>
    <x v="0"/>
    <x v="2"/>
    <x v="0"/>
    <x v="11"/>
    <n v="260000"/>
    <s v="USD"/>
    <n v="260000"/>
    <n v="21611200"/>
    <s v="JP"/>
    <n v="0"/>
    <x v="2"/>
    <x v="1"/>
    <x v="1"/>
    <x v="2"/>
  </r>
  <r>
    <s v="EMP003"/>
    <x v="0"/>
    <x v="2"/>
    <x v="0"/>
    <x v="6"/>
    <n v="85000"/>
    <s v="GBP"/>
    <n v="109024"/>
    <n v="9062074.8800000008"/>
    <s v="GB"/>
    <n v="50"/>
    <x v="9"/>
    <x v="2"/>
    <x v="2"/>
    <x v="2"/>
  </r>
  <r>
    <s v="EMP005"/>
    <x v="0"/>
    <x v="2"/>
    <x v="0"/>
    <x v="7"/>
    <n v="150000"/>
    <s v="USD"/>
    <n v="150000"/>
    <n v="12468000"/>
    <s v="US"/>
    <n v="50"/>
    <x v="0"/>
    <x v="0"/>
    <x v="2"/>
    <x v="2"/>
  </r>
  <r>
    <s v="EMP007"/>
    <x v="0"/>
    <x v="2"/>
    <x v="0"/>
    <x v="19"/>
    <n v="190000"/>
    <s v="USD"/>
    <n v="190000"/>
    <n v="15792800"/>
    <s v="US"/>
    <n v="100"/>
    <x v="0"/>
    <x v="1"/>
    <x v="0"/>
    <x v="2"/>
  </r>
  <r>
    <s v="EMP010"/>
    <x v="0"/>
    <x v="2"/>
    <x v="0"/>
    <x v="18"/>
    <n v="125000"/>
    <s v="USD"/>
    <n v="125000"/>
    <n v="10390000"/>
    <s v="NZ"/>
    <n v="50"/>
    <x v="42"/>
    <x v="1"/>
    <x v="2"/>
    <x v="2"/>
  </r>
  <r>
    <s v="EMP018"/>
    <x v="0"/>
    <x v="2"/>
    <x v="0"/>
    <x v="6"/>
    <n v="100000"/>
    <s v="EUR"/>
    <n v="114047"/>
    <n v="9479586.6400000006"/>
    <s v="PL"/>
    <n v="100"/>
    <x v="9"/>
    <x v="1"/>
    <x v="0"/>
    <x v="2"/>
  </r>
  <r>
    <s v="EMP023"/>
    <x v="0"/>
    <x v="2"/>
    <x v="0"/>
    <x v="2"/>
    <n v="42000"/>
    <s v="EUR"/>
    <n v="47899"/>
    <n v="3981364.8800000004"/>
    <s v="GR"/>
    <n v="50"/>
    <x v="29"/>
    <x v="0"/>
    <x v="2"/>
    <x v="2"/>
  </r>
  <r>
    <s v="EMP028"/>
    <x v="0"/>
    <x v="2"/>
    <x v="0"/>
    <x v="2"/>
    <n v="720000"/>
    <s v="MXN"/>
    <n v="33511"/>
    <n v="2785434.3200000003"/>
    <s v="MX"/>
    <n v="0"/>
    <x v="33"/>
    <x v="1"/>
    <x v="1"/>
    <x v="2"/>
  </r>
  <r>
    <s v="EMP030"/>
    <x v="0"/>
    <x v="2"/>
    <x v="0"/>
    <x v="31"/>
    <n v="157000"/>
    <s v="CAD"/>
    <n v="117104"/>
    <n v="9733684.4800000004"/>
    <s v="CA"/>
    <n v="50"/>
    <x v="26"/>
    <x v="0"/>
    <x v="2"/>
    <x v="2"/>
  </r>
  <r>
    <s v="EMP033"/>
    <x v="0"/>
    <x v="2"/>
    <x v="0"/>
    <x v="1"/>
    <n v="60000"/>
    <s v="EUR"/>
    <n v="68428"/>
    <n v="5687735.3600000003"/>
    <s v="GR"/>
    <n v="100"/>
    <x v="0"/>
    <x v="0"/>
    <x v="0"/>
    <x v="2"/>
  </r>
  <r>
    <s v="EMP048"/>
    <x v="0"/>
    <x v="2"/>
    <x v="0"/>
    <x v="2"/>
    <n v="188000"/>
    <s v="USD"/>
    <n v="188000"/>
    <n v="15626560"/>
    <s v="US"/>
    <n v="100"/>
    <x v="0"/>
    <x v="0"/>
    <x v="0"/>
    <x v="2"/>
  </r>
  <r>
    <s v="EMP055"/>
    <x v="0"/>
    <x v="2"/>
    <x v="3"/>
    <x v="15"/>
    <n v="60000"/>
    <s v="USD"/>
    <n v="60000"/>
    <n v="4987200"/>
    <s v="RU"/>
    <n v="100"/>
    <x v="0"/>
    <x v="1"/>
    <x v="0"/>
    <x v="2"/>
  </r>
  <r>
    <s v="EMP056"/>
    <x v="0"/>
    <x v="2"/>
    <x v="0"/>
    <x v="27"/>
    <n v="130000"/>
    <s v="EUR"/>
    <n v="148261"/>
    <n v="12323454.32"/>
    <s v="DE"/>
    <n v="100"/>
    <x v="6"/>
    <x v="2"/>
    <x v="0"/>
    <x v="2"/>
  </r>
  <r>
    <s v="EMP059"/>
    <x v="0"/>
    <x v="2"/>
    <x v="0"/>
    <x v="1"/>
    <n v="120000"/>
    <s v="USD"/>
    <n v="120000"/>
    <n v="9974400"/>
    <s v="US"/>
    <n v="50"/>
    <x v="0"/>
    <x v="0"/>
    <x v="2"/>
    <x v="2"/>
  </r>
  <r>
    <s v="EMP064"/>
    <x v="0"/>
    <x v="2"/>
    <x v="0"/>
    <x v="1"/>
    <n v="412000"/>
    <s v="USD"/>
    <n v="412000"/>
    <n v="34245440"/>
    <s v="US"/>
    <n v="100"/>
    <x v="0"/>
    <x v="0"/>
    <x v="0"/>
    <x v="2"/>
  </r>
  <r>
    <s v="EMP065"/>
    <x v="0"/>
    <x v="2"/>
    <x v="0"/>
    <x v="7"/>
    <n v="40000"/>
    <s v="EUR"/>
    <n v="45618"/>
    <n v="3791768.16"/>
    <s v="HR"/>
    <n v="100"/>
    <x v="43"/>
    <x v="1"/>
    <x v="0"/>
    <x v="2"/>
  </r>
  <r>
    <s v="EMP068"/>
    <x v="0"/>
    <x v="2"/>
    <x v="0"/>
    <x v="32"/>
    <n v="190200"/>
    <s v="USD"/>
    <n v="190200"/>
    <n v="15809424"/>
    <s v="US"/>
    <n v="100"/>
    <x v="0"/>
    <x v="2"/>
    <x v="0"/>
    <x v="2"/>
  </r>
  <r>
    <s v="EMP070"/>
    <x v="0"/>
    <x v="2"/>
    <x v="0"/>
    <x v="1"/>
    <n v="80000"/>
    <s v="EUR"/>
    <n v="91237"/>
    <n v="7583619.4400000004"/>
    <s v="AT"/>
    <n v="0"/>
    <x v="24"/>
    <x v="1"/>
    <x v="1"/>
    <x v="2"/>
  </r>
  <r>
    <s v="EMP076"/>
    <x v="1"/>
    <x v="2"/>
    <x v="0"/>
    <x v="1"/>
    <n v="45000"/>
    <s v="EUR"/>
    <n v="53192"/>
    <n v="4421319.04"/>
    <s v="FR"/>
    <n v="50"/>
    <x v="1"/>
    <x v="0"/>
    <x v="2"/>
    <x v="2"/>
  </r>
  <r>
    <s v="EMP081"/>
    <x v="1"/>
    <x v="2"/>
    <x v="0"/>
    <x v="23"/>
    <n v="67000"/>
    <s v="EUR"/>
    <n v="79197"/>
    <n v="6582854.6400000006"/>
    <s v="DE"/>
    <n v="100"/>
    <x v="6"/>
    <x v="0"/>
    <x v="0"/>
    <x v="2"/>
  </r>
  <r>
    <s v="EMP089"/>
    <x v="1"/>
    <x v="2"/>
    <x v="0"/>
    <x v="17"/>
    <n v="170000"/>
    <s v="USD"/>
    <n v="170000"/>
    <n v="14130400"/>
    <s v="US"/>
    <n v="100"/>
    <x v="0"/>
    <x v="0"/>
    <x v="0"/>
    <x v="2"/>
  </r>
  <r>
    <s v="EMP090"/>
    <x v="1"/>
    <x v="2"/>
    <x v="0"/>
    <x v="0"/>
    <n v="80000"/>
    <s v="USD"/>
    <n v="80000"/>
    <n v="6649600"/>
    <s v="BG"/>
    <n v="100"/>
    <x v="0"/>
    <x v="1"/>
    <x v="0"/>
    <x v="2"/>
  </r>
  <r>
    <s v="EMP091"/>
    <x v="1"/>
    <x v="2"/>
    <x v="0"/>
    <x v="33"/>
    <n v="75000"/>
    <s v="EUR"/>
    <n v="88654"/>
    <n v="7368920.4800000004"/>
    <s v="GR"/>
    <n v="100"/>
    <x v="7"/>
    <x v="0"/>
    <x v="0"/>
    <x v="2"/>
  </r>
  <r>
    <s v="EMP094"/>
    <x v="1"/>
    <x v="2"/>
    <x v="0"/>
    <x v="18"/>
    <n v="276000"/>
    <s v="USD"/>
    <n v="276000"/>
    <n v="22941120"/>
    <s v="US"/>
    <n v="0"/>
    <x v="0"/>
    <x v="0"/>
    <x v="1"/>
    <x v="2"/>
  </r>
  <r>
    <s v="EMP102"/>
    <x v="1"/>
    <x v="2"/>
    <x v="0"/>
    <x v="2"/>
    <n v="150000"/>
    <s v="USD"/>
    <n v="150000"/>
    <n v="12468000"/>
    <s v="US"/>
    <n v="100"/>
    <x v="0"/>
    <x v="0"/>
    <x v="0"/>
    <x v="2"/>
  </r>
  <r>
    <s v="EMP108"/>
    <x v="1"/>
    <x v="2"/>
    <x v="0"/>
    <x v="2"/>
    <n v="115000"/>
    <s v="USD"/>
    <n v="115000"/>
    <n v="9558800"/>
    <s v="US"/>
    <n v="100"/>
    <x v="0"/>
    <x v="1"/>
    <x v="0"/>
    <x v="2"/>
  </r>
  <r>
    <s v="EMP109"/>
    <x v="1"/>
    <x v="2"/>
    <x v="0"/>
    <x v="2"/>
    <n v="150000"/>
    <s v="USD"/>
    <n v="150000"/>
    <n v="12468000"/>
    <s v="US"/>
    <n v="100"/>
    <x v="0"/>
    <x v="2"/>
    <x v="0"/>
    <x v="2"/>
  </r>
  <r>
    <s v="EMP111"/>
    <x v="1"/>
    <x v="2"/>
    <x v="0"/>
    <x v="7"/>
    <n v="80000"/>
    <s v="EUR"/>
    <n v="94564"/>
    <n v="7860159.6800000006"/>
    <s v="DE"/>
    <n v="50"/>
    <x v="6"/>
    <x v="0"/>
    <x v="2"/>
    <x v="2"/>
  </r>
  <r>
    <s v="EMP112"/>
    <x v="1"/>
    <x v="2"/>
    <x v="0"/>
    <x v="34"/>
    <n v="82500"/>
    <s v="GBP"/>
    <n v="113476"/>
    <n v="9432125.120000001"/>
    <s v="GB"/>
    <n v="100"/>
    <x v="9"/>
    <x v="2"/>
    <x v="0"/>
    <x v="2"/>
  </r>
  <r>
    <s v="EMP113"/>
    <x v="1"/>
    <x v="2"/>
    <x v="0"/>
    <x v="18"/>
    <n v="75000"/>
    <s v="GBP"/>
    <n v="103160"/>
    <n v="8574659.2000000011"/>
    <s v="GB"/>
    <n v="100"/>
    <x v="9"/>
    <x v="1"/>
    <x v="0"/>
    <x v="2"/>
  </r>
  <r>
    <s v="EMP122"/>
    <x v="1"/>
    <x v="2"/>
    <x v="0"/>
    <x v="35"/>
    <n v="200000"/>
    <s v="USD"/>
    <n v="200000"/>
    <n v="16624000"/>
    <s v="US"/>
    <n v="100"/>
    <x v="0"/>
    <x v="2"/>
    <x v="0"/>
    <x v="2"/>
  </r>
  <r>
    <s v="EMP127"/>
    <x v="1"/>
    <x v="2"/>
    <x v="0"/>
    <x v="11"/>
    <n v="120000"/>
    <s v="USD"/>
    <n v="120000"/>
    <n v="9974400"/>
    <s v="US"/>
    <n v="50"/>
    <x v="0"/>
    <x v="1"/>
    <x v="2"/>
    <x v="2"/>
  </r>
  <r>
    <s v="EMP130"/>
    <x v="1"/>
    <x v="2"/>
    <x v="0"/>
    <x v="19"/>
    <n v="3000000"/>
    <s v="INR"/>
    <n v="40570"/>
    <n v="3372178.4000000004"/>
    <s v="IN"/>
    <n v="50"/>
    <x v="3"/>
    <x v="0"/>
    <x v="2"/>
    <x v="2"/>
  </r>
  <r>
    <s v="EMP134"/>
    <x v="1"/>
    <x v="2"/>
    <x v="0"/>
    <x v="15"/>
    <n v="24000"/>
    <s v="USD"/>
    <n v="24000"/>
    <n v="1994880"/>
    <s v="BR"/>
    <n v="100"/>
    <x v="37"/>
    <x v="2"/>
    <x v="0"/>
    <x v="2"/>
  </r>
  <r>
    <s v="EMP139"/>
    <x v="1"/>
    <x v="2"/>
    <x v="0"/>
    <x v="27"/>
    <n v="220000"/>
    <s v="USD"/>
    <n v="220000"/>
    <n v="18286400"/>
    <s v="US"/>
    <n v="0"/>
    <x v="0"/>
    <x v="0"/>
    <x v="1"/>
    <x v="2"/>
  </r>
  <r>
    <s v="EMP142"/>
    <x v="1"/>
    <x v="2"/>
    <x v="0"/>
    <x v="32"/>
    <n v="240000"/>
    <s v="USD"/>
    <n v="240000"/>
    <n v="19948800"/>
    <s v="US"/>
    <n v="0"/>
    <x v="0"/>
    <x v="0"/>
    <x v="1"/>
    <x v="2"/>
  </r>
  <r>
    <s v="EMP143"/>
    <x v="1"/>
    <x v="2"/>
    <x v="0"/>
    <x v="20"/>
    <n v="150000"/>
    <s v="USD"/>
    <n v="150000"/>
    <n v="12468000"/>
    <s v="US"/>
    <n v="0"/>
    <x v="0"/>
    <x v="0"/>
    <x v="1"/>
    <x v="2"/>
  </r>
  <r>
    <s v="EMP146"/>
    <x v="1"/>
    <x v="2"/>
    <x v="0"/>
    <x v="7"/>
    <n v="70000"/>
    <s v="EUR"/>
    <n v="82744"/>
    <n v="6877681.2800000003"/>
    <s v="BE"/>
    <n v="50"/>
    <x v="39"/>
    <x v="2"/>
    <x v="2"/>
    <x v="2"/>
  </r>
  <r>
    <s v="EMP149"/>
    <x v="1"/>
    <x v="2"/>
    <x v="0"/>
    <x v="20"/>
    <n v="153000"/>
    <s v="USD"/>
    <n v="153000"/>
    <n v="12717360"/>
    <s v="US"/>
    <n v="100"/>
    <x v="0"/>
    <x v="0"/>
    <x v="0"/>
    <x v="2"/>
  </r>
  <r>
    <s v="EMP150"/>
    <x v="1"/>
    <x v="2"/>
    <x v="0"/>
    <x v="24"/>
    <n v="160000"/>
    <s v="USD"/>
    <n v="160000"/>
    <n v="13299200"/>
    <s v="BR"/>
    <n v="100"/>
    <x v="0"/>
    <x v="1"/>
    <x v="0"/>
    <x v="2"/>
  </r>
  <r>
    <s v="EMP151"/>
    <x v="1"/>
    <x v="2"/>
    <x v="0"/>
    <x v="36"/>
    <n v="168000"/>
    <s v="USD"/>
    <n v="168000"/>
    <n v="13964160"/>
    <s v="JP"/>
    <n v="0"/>
    <x v="2"/>
    <x v="1"/>
    <x v="1"/>
    <x v="2"/>
  </r>
  <r>
    <s v="EMP155"/>
    <x v="1"/>
    <x v="2"/>
    <x v="0"/>
    <x v="32"/>
    <n v="144000"/>
    <s v="USD"/>
    <n v="144000"/>
    <n v="11969280"/>
    <s v="US"/>
    <n v="100"/>
    <x v="0"/>
    <x v="0"/>
    <x v="0"/>
    <x v="2"/>
  </r>
  <r>
    <s v="EMP156"/>
    <x v="1"/>
    <x v="2"/>
    <x v="0"/>
    <x v="26"/>
    <n v="159500"/>
    <s v="CAD"/>
    <n v="127221"/>
    <n v="10574609.520000001"/>
    <s v="CA"/>
    <n v="50"/>
    <x v="26"/>
    <x v="0"/>
    <x v="2"/>
    <x v="2"/>
  </r>
  <r>
    <s v="EMP159"/>
    <x v="1"/>
    <x v="2"/>
    <x v="0"/>
    <x v="37"/>
    <n v="120000"/>
    <s v="USD"/>
    <n v="120000"/>
    <n v="9974400"/>
    <s v="US"/>
    <n v="100"/>
    <x v="0"/>
    <x v="2"/>
    <x v="0"/>
    <x v="2"/>
  </r>
  <r>
    <s v="EMP166"/>
    <x v="1"/>
    <x v="2"/>
    <x v="0"/>
    <x v="38"/>
    <n v="165000"/>
    <s v="USD"/>
    <n v="165000"/>
    <n v="13714800"/>
    <s v="US"/>
    <n v="100"/>
    <x v="0"/>
    <x v="0"/>
    <x v="0"/>
    <x v="2"/>
  </r>
  <r>
    <s v="EMP174"/>
    <x v="1"/>
    <x v="2"/>
    <x v="0"/>
    <x v="27"/>
    <n v="235000"/>
    <s v="USD"/>
    <n v="235000"/>
    <n v="19533200"/>
    <s v="US"/>
    <n v="100"/>
    <x v="0"/>
    <x v="0"/>
    <x v="0"/>
    <x v="2"/>
  </r>
  <r>
    <s v="EMP175"/>
    <x v="1"/>
    <x v="2"/>
    <x v="0"/>
    <x v="4"/>
    <n v="51400"/>
    <s v="EUR"/>
    <n v="60757"/>
    <n v="5050121.84"/>
    <s v="PT"/>
    <n v="50"/>
    <x v="25"/>
    <x v="0"/>
    <x v="2"/>
    <x v="2"/>
  </r>
  <r>
    <s v="EMP176"/>
    <x v="1"/>
    <x v="2"/>
    <x v="0"/>
    <x v="20"/>
    <n v="174000"/>
    <s v="USD"/>
    <n v="174000"/>
    <n v="14462880"/>
    <s v="US"/>
    <n v="100"/>
    <x v="0"/>
    <x v="0"/>
    <x v="0"/>
    <x v="2"/>
  </r>
  <r>
    <s v="EMP184"/>
    <x v="1"/>
    <x v="2"/>
    <x v="0"/>
    <x v="39"/>
    <n v="45000"/>
    <s v="GBP"/>
    <n v="61896"/>
    <n v="5144795.5200000005"/>
    <s v="GB"/>
    <n v="50"/>
    <x v="9"/>
    <x v="0"/>
    <x v="2"/>
    <x v="2"/>
  </r>
  <r>
    <s v="EMP187"/>
    <x v="1"/>
    <x v="2"/>
    <x v="0"/>
    <x v="23"/>
    <n v="50000"/>
    <s v="USD"/>
    <n v="50000"/>
    <n v="4156000"/>
    <s v="VN"/>
    <n v="100"/>
    <x v="9"/>
    <x v="2"/>
    <x v="0"/>
    <x v="2"/>
  </r>
  <r>
    <s v="EMP189"/>
    <x v="1"/>
    <x v="2"/>
    <x v="0"/>
    <x v="2"/>
    <n v="65000"/>
    <s v="EUR"/>
    <n v="76833"/>
    <n v="6386358.96"/>
    <s v="RO"/>
    <n v="50"/>
    <x v="9"/>
    <x v="1"/>
    <x v="2"/>
    <x v="2"/>
  </r>
  <r>
    <s v="EMP191"/>
    <x v="1"/>
    <x v="2"/>
    <x v="0"/>
    <x v="32"/>
    <n v="152000"/>
    <s v="USD"/>
    <n v="152000"/>
    <n v="12634240"/>
    <s v="US"/>
    <n v="100"/>
    <x v="1"/>
    <x v="0"/>
    <x v="0"/>
    <x v="2"/>
  </r>
  <r>
    <s v="EMP194"/>
    <x v="1"/>
    <x v="2"/>
    <x v="0"/>
    <x v="32"/>
    <n v="174000"/>
    <s v="USD"/>
    <n v="174000"/>
    <n v="14462880"/>
    <s v="US"/>
    <n v="100"/>
    <x v="0"/>
    <x v="0"/>
    <x v="0"/>
    <x v="2"/>
  </r>
  <r>
    <s v="EMP195"/>
    <x v="1"/>
    <x v="2"/>
    <x v="0"/>
    <x v="4"/>
    <n v="120500"/>
    <s v="CAD"/>
    <n v="96113"/>
    <n v="7988912.5600000005"/>
    <s v="CA"/>
    <n v="50"/>
    <x v="26"/>
    <x v="0"/>
    <x v="2"/>
    <x v="2"/>
  </r>
  <r>
    <s v="EMP198"/>
    <x v="1"/>
    <x v="2"/>
    <x v="0"/>
    <x v="7"/>
    <n v="1799997"/>
    <s v="INR"/>
    <n v="24342"/>
    <n v="2023307.04"/>
    <s v="IN"/>
    <n v="100"/>
    <x v="3"/>
    <x v="0"/>
    <x v="0"/>
    <x v="2"/>
  </r>
  <r>
    <s v="EMP199"/>
    <x v="1"/>
    <x v="2"/>
    <x v="0"/>
    <x v="32"/>
    <n v="4000000"/>
    <s v="INR"/>
    <n v="54094"/>
    <n v="4496293.28"/>
    <s v="IN"/>
    <n v="50"/>
    <x v="0"/>
    <x v="0"/>
    <x v="2"/>
    <x v="2"/>
  </r>
  <r>
    <s v="EMP202"/>
    <x v="1"/>
    <x v="2"/>
    <x v="0"/>
    <x v="21"/>
    <n v="195000"/>
    <s v="USD"/>
    <n v="195000"/>
    <n v="16208400"/>
    <s v="US"/>
    <n v="100"/>
    <x v="0"/>
    <x v="2"/>
    <x v="0"/>
    <x v="2"/>
  </r>
  <r>
    <s v="EMP204"/>
    <x v="1"/>
    <x v="2"/>
    <x v="0"/>
    <x v="4"/>
    <n v="50000"/>
    <s v="USD"/>
    <n v="50000"/>
    <n v="4156000"/>
    <s v="FR"/>
    <n v="100"/>
    <x v="0"/>
    <x v="1"/>
    <x v="0"/>
    <x v="2"/>
  </r>
  <r>
    <s v="EMP207"/>
    <x v="1"/>
    <x v="2"/>
    <x v="0"/>
    <x v="7"/>
    <n v="200000"/>
    <s v="USD"/>
    <n v="200000"/>
    <n v="16624000"/>
    <s v="US"/>
    <n v="100"/>
    <x v="0"/>
    <x v="0"/>
    <x v="0"/>
    <x v="2"/>
  </r>
  <r>
    <s v="EMP208"/>
    <x v="1"/>
    <x v="2"/>
    <x v="0"/>
    <x v="2"/>
    <n v="165000"/>
    <s v="USD"/>
    <n v="165000"/>
    <n v="13714800"/>
    <s v="US"/>
    <n v="0"/>
    <x v="0"/>
    <x v="2"/>
    <x v="1"/>
    <x v="2"/>
  </r>
  <r>
    <s v="EMP210"/>
    <x v="1"/>
    <x v="2"/>
    <x v="0"/>
    <x v="37"/>
    <n v="120000"/>
    <s v="USD"/>
    <n v="120000"/>
    <n v="9974400"/>
    <s v="US"/>
    <n v="0"/>
    <x v="0"/>
    <x v="0"/>
    <x v="1"/>
    <x v="2"/>
  </r>
  <r>
    <s v="EMP216"/>
    <x v="1"/>
    <x v="2"/>
    <x v="0"/>
    <x v="35"/>
    <n v="185000"/>
    <s v="USD"/>
    <n v="185000"/>
    <n v="15377200"/>
    <s v="US"/>
    <n v="100"/>
    <x v="0"/>
    <x v="0"/>
    <x v="0"/>
    <x v="2"/>
  </r>
  <r>
    <s v="EMP220"/>
    <x v="1"/>
    <x v="2"/>
    <x v="0"/>
    <x v="37"/>
    <n v="140000"/>
    <s v="USD"/>
    <n v="140000"/>
    <n v="11636800"/>
    <s v="US"/>
    <n v="100"/>
    <x v="0"/>
    <x v="0"/>
    <x v="0"/>
    <x v="2"/>
  </r>
  <r>
    <s v="EMP225"/>
    <x v="1"/>
    <x v="2"/>
    <x v="0"/>
    <x v="11"/>
    <n v="225000"/>
    <s v="USD"/>
    <n v="225000"/>
    <n v="18702000"/>
    <s v="US"/>
    <n v="100"/>
    <x v="26"/>
    <x v="0"/>
    <x v="0"/>
    <x v="2"/>
  </r>
  <r>
    <s v="EMP227"/>
    <x v="1"/>
    <x v="2"/>
    <x v="0"/>
    <x v="1"/>
    <n v="110000"/>
    <s v="CAD"/>
    <n v="87738"/>
    <n v="7292782.5600000005"/>
    <s v="CA"/>
    <n v="100"/>
    <x v="26"/>
    <x v="1"/>
    <x v="0"/>
    <x v="2"/>
  </r>
  <r>
    <s v="EMP229"/>
    <x v="1"/>
    <x v="2"/>
    <x v="0"/>
    <x v="1"/>
    <n v="135000"/>
    <s v="USD"/>
    <n v="135000"/>
    <n v="11221200"/>
    <s v="US"/>
    <n v="0"/>
    <x v="0"/>
    <x v="0"/>
    <x v="1"/>
    <x v="2"/>
  </r>
  <r>
    <s v="EMP230"/>
    <x v="1"/>
    <x v="2"/>
    <x v="0"/>
    <x v="0"/>
    <n v="90000"/>
    <s v="CAD"/>
    <n v="71786"/>
    <n v="5966852.3200000003"/>
    <s v="CA"/>
    <n v="100"/>
    <x v="26"/>
    <x v="2"/>
    <x v="0"/>
    <x v="2"/>
  </r>
  <r>
    <s v="EMP232"/>
    <x v="1"/>
    <x v="2"/>
    <x v="0"/>
    <x v="8"/>
    <n v="256000"/>
    <s v="USD"/>
    <n v="256000"/>
    <n v="21278720"/>
    <s v="US"/>
    <n v="100"/>
    <x v="0"/>
    <x v="1"/>
    <x v="0"/>
    <x v="2"/>
  </r>
  <r>
    <s v="EMP233"/>
    <x v="1"/>
    <x v="2"/>
    <x v="0"/>
    <x v="34"/>
    <n v="200000"/>
    <s v="USD"/>
    <n v="200000"/>
    <n v="16624000"/>
    <s v="US"/>
    <n v="100"/>
    <x v="0"/>
    <x v="0"/>
    <x v="0"/>
    <x v="2"/>
  </r>
  <r>
    <s v="EMP234"/>
    <x v="1"/>
    <x v="2"/>
    <x v="0"/>
    <x v="0"/>
    <n v="200000"/>
    <s v="USD"/>
    <n v="200000"/>
    <n v="16624000"/>
    <s v="US"/>
    <n v="100"/>
    <x v="0"/>
    <x v="0"/>
    <x v="0"/>
    <x v="2"/>
  </r>
  <r>
    <s v="EMP241"/>
    <x v="1"/>
    <x v="2"/>
    <x v="0"/>
    <x v="1"/>
    <n v="130000"/>
    <s v="CAD"/>
    <n v="103691"/>
    <n v="8618795.9199999999"/>
    <s v="CA"/>
    <n v="100"/>
    <x v="26"/>
    <x v="0"/>
    <x v="0"/>
    <x v="2"/>
  </r>
  <r>
    <s v="EMP244"/>
    <x v="1"/>
    <x v="2"/>
    <x v="0"/>
    <x v="1"/>
    <n v="165000"/>
    <s v="USD"/>
    <n v="165000"/>
    <n v="13714800"/>
    <s v="US"/>
    <n v="100"/>
    <x v="0"/>
    <x v="0"/>
    <x v="0"/>
    <x v="2"/>
  </r>
  <r>
    <s v="EMP249"/>
    <x v="1"/>
    <x v="2"/>
    <x v="0"/>
    <x v="2"/>
    <n v="70000"/>
    <s v="GBP"/>
    <n v="96282"/>
    <n v="8002959.8400000008"/>
    <s v="GB"/>
    <n v="50"/>
    <x v="9"/>
    <x v="0"/>
    <x v="2"/>
    <x v="2"/>
  </r>
  <r>
    <s v="EMP250"/>
    <x v="1"/>
    <x v="2"/>
    <x v="0"/>
    <x v="40"/>
    <n v="170000"/>
    <s v="USD"/>
    <n v="170000"/>
    <n v="14130400"/>
    <s v="US"/>
    <n v="100"/>
    <x v="0"/>
    <x v="2"/>
    <x v="0"/>
    <x v="2"/>
  </r>
  <r>
    <s v="EMP256"/>
    <x v="1"/>
    <x v="2"/>
    <x v="0"/>
    <x v="41"/>
    <n v="125000"/>
    <s v="CAD"/>
    <n v="99703"/>
    <n v="8287313.3600000003"/>
    <s v="CA"/>
    <n v="50"/>
    <x v="26"/>
    <x v="2"/>
    <x v="2"/>
    <x v="2"/>
  </r>
  <r>
    <s v="EMP258"/>
    <x v="1"/>
    <x v="2"/>
    <x v="0"/>
    <x v="27"/>
    <n v="147000"/>
    <s v="EUR"/>
    <n v="173762"/>
    <n v="14443097.440000001"/>
    <s v="DE"/>
    <n v="100"/>
    <x v="6"/>
    <x v="2"/>
    <x v="0"/>
    <x v="2"/>
  </r>
  <r>
    <s v="EMP259"/>
    <x v="1"/>
    <x v="2"/>
    <x v="0"/>
    <x v="7"/>
    <n v="185000"/>
    <s v="USD"/>
    <n v="185000"/>
    <n v="15377200"/>
    <s v="US"/>
    <n v="50"/>
    <x v="0"/>
    <x v="0"/>
    <x v="2"/>
    <x v="2"/>
  </r>
  <r>
    <s v="EMP262"/>
    <x v="1"/>
    <x v="2"/>
    <x v="0"/>
    <x v="0"/>
    <n v="54000"/>
    <s v="EUR"/>
    <n v="63831"/>
    <n v="5305632.7200000007"/>
    <s v="DE"/>
    <n v="50"/>
    <x v="6"/>
    <x v="0"/>
    <x v="2"/>
    <x v="2"/>
  </r>
  <r>
    <s v="EMP264"/>
    <x v="1"/>
    <x v="2"/>
    <x v="0"/>
    <x v="7"/>
    <n v="4900000"/>
    <s v="INR"/>
    <n v="66265"/>
    <n v="5507946.8000000007"/>
    <s v="IN"/>
    <n v="0"/>
    <x v="3"/>
    <x v="0"/>
    <x v="1"/>
    <x v="2"/>
  </r>
  <r>
    <s v="EMP266"/>
    <x v="1"/>
    <x v="2"/>
    <x v="0"/>
    <x v="18"/>
    <n v="160000"/>
    <s v="USD"/>
    <n v="160000"/>
    <n v="13299200"/>
    <s v="PR"/>
    <n v="50"/>
    <x v="0"/>
    <x v="1"/>
    <x v="2"/>
    <x v="2"/>
  </r>
  <r>
    <s v="EMP272"/>
    <x v="1"/>
    <x v="2"/>
    <x v="0"/>
    <x v="15"/>
    <n v="102000"/>
    <s v="BRL"/>
    <n v="18907"/>
    <n v="1571549.84"/>
    <s v="BR"/>
    <n v="0"/>
    <x v="37"/>
    <x v="2"/>
    <x v="1"/>
    <x v="2"/>
  </r>
  <r>
    <s v="EMP275"/>
    <x v="1"/>
    <x v="2"/>
    <x v="0"/>
    <x v="1"/>
    <n v="65720"/>
    <s v="EUR"/>
    <n v="77684"/>
    <n v="6457094.0800000001"/>
    <s v="FR"/>
    <n v="50"/>
    <x v="1"/>
    <x v="2"/>
    <x v="2"/>
    <x v="2"/>
  </r>
  <r>
    <s v="EMP278"/>
    <x v="1"/>
    <x v="2"/>
    <x v="0"/>
    <x v="9"/>
    <n v="55000"/>
    <s v="USD"/>
    <n v="55000"/>
    <n v="4571600"/>
    <s v="ES"/>
    <n v="100"/>
    <x v="10"/>
    <x v="0"/>
    <x v="0"/>
    <x v="2"/>
  </r>
  <r>
    <s v="EMP279"/>
    <x v="1"/>
    <x v="2"/>
    <x v="0"/>
    <x v="1"/>
    <n v="180000"/>
    <s v="TRY"/>
    <n v="20171"/>
    <n v="1676613.52"/>
    <s v="TR"/>
    <n v="50"/>
    <x v="40"/>
    <x v="0"/>
    <x v="2"/>
    <x v="2"/>
  </r>
  <r>
    <s v="EMP284"/>
    <x v="1"/>
    <x v="2"/>
    <x v="1"/>
    <x v="42"/>
    <n v="105000"/>
    <s v="USD"/>
    <n v="105000"/>
    <n v="8727600"/>
    <s v="US"/>
    <n v="100"/>
    <x v="0"/>
    <x v="2"/>
    <x v="0"/>
    <x v="2"/>
  </r>
  <r>
    <s v="EMP286"/>
    <x v="1"/>
    <x v="2"/>
    <x v="0"/>
    <x v="32"/>
    <n v="7000000"/>
    <s v="INR"/>
    <n v="94665"/>
    <n v="7868554.8000000007"/>
    <s v="IN"/>
    <n v="50"/>
    <x v="3"/>
    <x v="0"/>
    <x v="2"/>
    <x v="2"/>
  </r>
  <r>
    <s v="EMP287"/>
    <x v="1"/>
    <x v="2"/>
    <x v="0"/>
    <x v="43"/>
    <n v="87000"/>
    <s v="EUR"/>
    <n v="102839"/>
    <n v="8547977.6799999997"/>
    <s v="SI"/>
    <n v="100"/>
    <x v="38"/>
    <x v="0"/>
    <x v="0"/>
    <x v="2"/>
  </r>
  <r>
    <s v="EMP290"/>
    <x v="2"/>
    <x v="2"/>
    <x v="0"/>
    <x v="2"/>
    <n v="135000"/>
    <s v="USD"/>
    <n v="135000"/>
    <n v="11221200"/>
    <s v="US"/>
    <n v="100"/>
    <x v="0"/>
    <x v="2"/>
    <x v="0"/>
    <x v="2"/>
  </r>
  <r>
    <s v="EMP291"/>
    <x v="2"/>
    <x v="2"/>
    <x v="0"/>
    <x v="0"/>
    <n v="155000"/>
    <s v="USD"/>
    <n v="155000"/>
    <n v="12883600"/>
    <s v="US"/>
    <n v="100"/>
    <x v="0"/>
    <x v="2"/>
    <x v="0"/>
    <x v="2"/>
  </r>
  <r>
    <s v="EMP292"/>
    <x v="2"/>
    <x v="2"/>
    <x v="0"/>
    <x v="0"/>
    <n v="120600"/>
    <s v="USD"/>
    <n v="120600"/>
    <n v="10024272"/>
    <s v="US"/>
    <n v="100"/>
    <x v="0"/>
    <x v="2"/>
    <x v="0"/>
    <x v="2"/>
  </r>
  <r>
    <s v="EMP297"/>
    <x v="2"/>
    <x v="2"/>
    <x v="0"/>
    <x v="0"/>
    <n v="102100"/>
    <s v="USD"/>
    <n v="102100"/>
    <n v="8486552"/>
    <s v="US"/>
    <n v="100"/>
    <x v="0"/>
    <x v="2"/>
    <x v="0"/>
    <x v="2"/>
  </r>
  <r>
    <s v="EMP298"/>
    <x v="2"/>
    <x v="2"/>
    <x v="0"/>
    <x v="0"/>
    <n v="84900"/>
    <s v="USD"/>
    <n v="84900"/>
    <n v="7056888"/>
    <s v="US"/>
    <n v="100"/>
    <x v="0"/>
    <x v="2"/>
    <x v="0"/>
    <x v="2"/>
  </r>
  <r>
    <s v="EMP299"/>
    <x v="2"/>
    <x v="2"/>
    <x v="0"/>
    <x v="1"/>
    <n v="136620"/>
    <s v="USD"/>
    <n v="136620"/>
    <n v="11355854.4"/>
    <s v="US"/>
    <n v="100"/>
    <x v="0"/>
    <x v="2"/>
    <x v="0"/>
    <x v="2"/>
  </r>
  <r>
    <s v="EMP300"/>
    <x v="2"/>
    <x v="2"/>
    <x v="0"/>
    <x v="1"/>
    <n v="99360"/>
    <s v="USD"/>
    <n v="99360"/>
    <n v="8258803.2000000002"/>
    <s v="US"/>
    <n v="100"/>
    <x v="0"/>
    <x v="2"/>
    <x v="0"/>
    <x v="2"/>
  </r>
  <r>
    <s v="EMP026"/>
    <x v="0"/>
    <x v="3"/>
    <x v="0"/>
    <x v="36"/>
    <n v="325000"/>
    <s v="USD"/>
    <n v="325000"/>
    <n v="27014000"/>
    <s v="US"/>
    <n v="100"/>
    <x v="0"/>
    <x v="0"/>
    <x v="0"/>
    <x v="3"/>
  </r>
  <r>
    <s v="EMP042"/>
    <x v="0"/>
    <x v="3"/>
    <x v="0"/>
    <x v="20"/>
    <n v="70000"/>
    <s v="EUR"/>
    <n v="79833"/>
    <n v="6635718.96"/>
    <s v="ES"/>
    <n v="50"/>
    <x v="10"/>
    <x v="0"/>
    <x v="2"/>
    <x v="3"/>
  </r>
  <r>
    <s v="EMP074"/>
    <x v="1"/>
    <x v="3"/>
    <x v="0"/>
    <x v="14"/>
    <n v="150000"/>
    <s v="USD"/>
    <n v="150000"/>
    <n v="12468000"/>
    <s v="IN"/>
    <n v="100"/>
    <x v="0"/>
    <x v="0"/>
    <x v="0"/>
    <x v="3"/>
  </r>
  <r>
    <s v="EMP075"/>
    <x v="1"/>
    <x v="3"/>
    <x v="0"/>
    <x v="43"/>
    <n v="235000"/>
    <s v="USD"/>
    <n v="235000"/>
    <n v="19533200"/>
    <s v="US"/>
    <n v="100"/>
    <x v="0"/>
    <x v="0"/>
    <x v="0"/>
    <x v="3"/>
  </r>
  <r>
    <s v="EMP085"/>
    <x v="1"/>
    <x v="3"/>
    <x v="0"/>
    <x v="36"/>
    <n v="130000"/>
    <s v="EUR"/>
    <n v="153667"/>
    <n v="12772801.040000001"/>
    <s v="IT"/>
    <n v="100"/>
    <x v="27"/>
    <x v="0"/>
    <x v="0"/>
    <x v="3"/>
  </r>
  <r>
    <s v="EMP161"/>
    <x v="1"/>
    <x v="3"/>
    <x v="0"/>
    <x v="43"/>
    <n v="230000"/>
    <s v="USD"/>
    <n v="230000"/>
    <n v="19117600"/>
    <s v="RU"/>
    <n v="50"/>
    <x v="44"/>
    <x v="0"/>
    <x v="2"/>
    <x v="3"/>
  </r>
  <r>
    <s v="EMP162"/>
    <x v="1"/>
    <x v="3"/>
    <x v="0"/>
    <x v="30"/>
    <n v="85000"/>
    <s v="USD"/>
    <n v="85000"/>
    <n v="7065200"/>
    <s v="RU"/>
    <n v="0"/>
    <x v="44"/>
    <x v="2"/>
    <x v="1"/>
    <x v="3"/>
  </r>
  <r>
    <s v="EMP165"/>
    <x v="1"/>
    <x v="3"/>
    <x v="0"/>
    <x v="36"/>
    <n v="110000"/>
    <s v="EUR"/>
    <n v="130026"/>
    <n v="10807761.120000001"/>
    <s v="DE"/>
    <n v="50"/>
    <x v="6"/>
    <x v="2"/>
    <x v="2"/>
    <x v="3"/>
  </r>
  <r>
    <s v="EMP168"/>
    <x v="1"/>
    <x v="3"/>
    <x v="0"/>
    <x v="36"/>
    <n v="250000"/>
    <s v="USD"/>
    <n v="250000"/>
    <n v="20780000"/>
    <s v="US"/>
    <n v="0"/>
    <x v="0"/>
    <x v="0"/>
    <x v="1"/>
    <x v="3"/>
  </r>
  <r>
    <s v="EMP188"/>
    <x v="1"/>
    <x v="3"/>
    <x v="0"/>
    <x v="3"/>
    <n v="59000"/>
    <s v="EUR"/>
    <n v="69741"/>
    <n v="5796871.9199999999"/>
    <s v="FR"/>
    <n v="100"/>
    <x v="10"/>
    <x v="1"/>
    <x v="0"/>
    <x v="3"/>
  </r>
  <r>
    <s v="EMP226"/>
    <x v="1"/>
    <x v="3"/>
    <x v="1"/>
    <x v="27"/>
    <n v="416000"/>
    <s v="USD"/>
    <n v="416000"/>
    <n v="34577920"/>
    <s v="US"/>
    <n v="100"/>
    <x v="0"/>
    <x v="1"/>
    <x v="0"/>
    <x v="3"/>
  </r>
  <r>
    <s v="EMP253"/>
    <x v="1"/>
    <x v="3"/>
    <x v="0"/>
    <x v="35"/>
    <n v="600000"/>
    <s v="USD"/>
    <n v="600000"/>
    <n v="49872000"/>
    <s v="US"/>
    <n v="100"/>
    <x v="0"/>
    <x v="0"/>
    <x v="0"/>
    <x v="3"/>
  </r>
  <r>
    <s v="EMP260"/>
    <x v="1"/>
    <x v="3"/>
    <x v="0"/>
    <x v="36"/>
    <n v="120000"/>
    <s v="EUR"/>
    <n v="141846"/>
    <n v="11790239.520000001"/>
    <s v="DE"/>
    <n v="0"/>
    <x v="6"/>
    <x v="0"/>
    <x v="1"/>
    <x v="3"/>
  </r>
  <r>
    <m/>
    <x v="3"/>
    <x v="4"/>
    <x v="4"/>
    <x v="44"/>
    <m/>
    <m/>
    <m/>
    <n v="0"/>
    <m/>
    <m/>
    <x v="45"/>
    <x v="3"/>
    <x v="3"/>
    <x v="4"/>
  </r>
  <r>
    <m/>
    <x v="3"/>
    <x v="4"/>
    <x v="4"/>
    <x v="44"/>
    <m/>
    <m/>
    <m/>
    <n v="0"/>
    <m/>
    <m/>
    <x v="45"/>
    <x v="3"/>
    <x v="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E09BEE-8A94-4E22-AEC6-8777A1659C10}"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4:H9" firstHeaderRow="1" firstDataRow="1" firstDataCol="1" rowPageCount="1" colPageCount="1"/>
  <pivotFields count="15">
    <pivotField dataField="1" showAll="0"/>
    <pivotField showAll="0">
      <items count="5">
        <item x="0"/>
        <item x="1"/>
        <item x="2"/>
        <item x="3"/>
        <item t="default"/>
      </items>
    </pivotField>
    <pivotField axis="axisRow" showAll="0">
      <items count="6">
        <item sd="0" x="0"/>
        <item sd="0" x="3"/>
        <item sd="0" x="1"/>
        <item sd="0" x="2"/>
        <item h="1" x="4"/>
        <item t="default"/>
      </items>
    </pivotField>
    <pivotField axis="axisRow" showAll="0">
      <items count="6">
        <item x="1"/>
        <item x="3"/>
        <item x="0"/>
        <item x="2"/>
        <item x="4"/>
        <item t="default"/>
      </items>
    </pivotField>
    <pivotField showAll="0"/>
    <pivotField showAll="0"/>
    <pivotField showAll="0"/>
    <pivotField showAll="0"/>
    <pivotField showAll="0"/>
    <pivotField showAll="0"/>
    <pivotField showAll="0"/>
    <pivotField showAll="0">
      <items count="47">
        <item x="23"/>
        <item x="17"/>
        <item x="24"/>
        <item x="39"/>
        <item x="37"/>
        <item x="26"/>
        <item x="15"/>
        <item x="34"/>
        <item x="19"/>
        <item x="13"/>
        <item x="41"/>
        <item x="6"/>
        <item x="7"/>
        <item x="10"/>
        <item x="1"/>
        <item x="9"/>
        <item x="29"/>
        <item x="20"/>
        <item x="43"/>
        <item x="21"/>
        <item x="31"/>
        <item x="3"/>
        <item x="11"/>
        <item x="35"/>
        <item x="8"/>
        <item x="2"/>
        <item x="14"/>
        <item x="18"/>
        <item x="36"/>
        <item x="32"/>
        <item x="33"/>
        <item x="5"/>
        <item x="4"/>
        <item x="42"/>
        <item x="22"/>
        <item x="27"/>
        <item x="25"/>
        <item x="30"/>
        <item x="44"/>
        <item x="28"/>
        <item x="38"/>
        <item x="40"/>
        <item x="12"/>
        <item x="0"/>
        <item x="16"/>
        <item x="45"/>
        <item t="default"/>
      </items>
    </pivotField>
    <pivotField showAll="0"/>
    <pivotField showAll="0">
      <items count="5">
        <item x="2"/>
        <item x="1"/>
        <item x="0"/>
        <item x="3"/>
        <item t="default"/>
      </items>
    </pivotField>
    <pivotField axis="axisPage" showAll="0">
      <items count="6">
        <item x="0"/>
        <item x="1"/>
        <item x="2"/>
        <item x="3"/>
        <item x="4"/>
        <item t="default"/>
      </items>
    </pivotField>
  </pivotFields>
  <rowFields count="2">
    <field x="2"/>
    <field x="3"/>
  </rowFields>
  <rowItems count="5">
    <i>
      <x/>
    </i>
    <i>
      <x v="1"/>
    </i>
    <i>
      <x v="2"/>
    </i>
    <i>
      <x v="3"/>
    </i>
    <i t="grand">
      <x/>
    </i>
  </rowItems>
  <colItems count="1">
    <i/>
  </colItems>
  <pageFields count="1">
    <pageField fld="14" hier="-1"/>
  </pageFields>
  <dataFields count="1">
    <dataField name="Count of Index"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89DA0B-6985-42D6-AB39-B92A6BA6FFEC}"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4:D15" firstHeaderRow="1" firstDataRow="1" firstDataCol="1"/>
  <pivotFields count="15">
    <pivotField showAll="0"/>
    <pivotField showAll="0">
      <items count="5">
        <item x="0"/>
        <item x="1"/>
        <item x="2"/>
        <item x="3"/>
        <item t="default"/>
      </items>
    </pivotField>
    <pivotField showAll="0">
      <items count="6">
        <item x="0"/>
        <item x="3"/>
        <item x="1"/>
        <item x="2"/>
        <item h="1" x="4"/>
        <item t="default"/>
      </items>
    </pivotField>
    <pivotField showAll="0">
      <items count="6">
        <item x="1"/>
        <item x="3"/>
        <item x="0"/>
        <item x="2"/>
        <item x="4"/>
        <item t="default"/>
      </items>
    </pivotField>
    <pivotField axis="axisRow" showAll="0" measureFilter="1" sortType="descending">
      <items count="46">
        <item x="22"/>
        <item x="9"/>
        <item x="12"/>
        <item x="28"/>
        <item x="14"/>
        <item x="41"/>
        <item x="6"/>
        <item x="5"/>
        <item x="24"/>
        <item x="15"/>
        <item x="10"/>
        <item x="0"/>
        <item x="23"/>
        <item x="37"/>
        <item x="29"/>
        <item x="2"/>
        <item x="20"/>
        <item x="3"/>
        <item x="26"/>
        <item x="32"/>
        <item x="1"/>
        <item x="38"/>
        <item x="34"/>
        <item x="36"/>
        <item x="39"/>
        <item x="25"/>
        <item x="43"/>
        <item x="30"/>
        <item x="17"/>
        <item x="18"/>
        <item x="19"/>
        <item x="13"/>
        <item x="7"/>
        <item x="21"/>
        <item x="31"/>
        <item x="11"/>
        <item x="33"/>
        <item x="8"/>
        <item x="40"/>
        <item x="35"/>
        <item x="27"/>
        <item x="16"/>
        <item x="4"/>
        <item x="42"/>
        <item x="4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47">
        <item x="23"/>
        <item x="17"/>
        <item x="24"/>
        <item x="39"/>
        <item x="37"/>
        <item x="26"/>
        <item x="15"/>
        <item x="34"/>
        <item x="19"/>
        <item x="13"/>
        <item x="41"/>
        <item x="6"/>
        <item x="7"/>
        <item x="10"/>
        <item x="1"/>
        <item x="9"/>
        <item x="29"/>
        <item x="20"/>
        <item x="43"/>
        <item x="21"/>
        <item x="31"/>
        <item x="3"/>
        <item x="11"/>
        <item x="35"/>
        <item x="8"/>
        <item x="2"/>
        <item x="14"/>
        <item x="18"/>
        <item x="36"/>
        <item x="32"/>
        <item x="33"/>
        <item x="5"/>
        <item x="4"/>
        <item x="42"/>
        <item x="22"/>
        <item x="27"/>
        <item x="25"/>
        <item x="30"/>
        <item x="44"/>
        <item x="28"/>
        <item x="38"/>
        <item x="40"/>
        <item x="12"/>
        <item x="0"/>
        <item x="16"/>
        <item x="45"/>
        <item t="default"/>
      </items>
    </pivotField>
    <pivotField showAll="0"/>
    <pivotField showAll="0">
      <items count="5">
        <item x="2"/>
        <item x="1"/>
        <item x="0"/>
        <item x="3"/>
        <item t="default"/>
      </items>
    </pivotField>
    <pivotField showAll="0"/>
  </pivotFields>
  <rowFields count="1">
    <field x="4"/>
  </rowFields>
  <rowItems count="11">
    <i>
      <x v="25"/>
    </i>
    <i>
      <x v="39"/>
    </i>
    <i>
      <x v="3"/>
    </i>
    <i>
      <x v="40"/>
    </i>
    <i>
      <x v="23"/>
    </i>
    <i>
      <x v="26"/>
    </i>
    <i>
      <x v="38"/>
    </i>
    <i>
      <x v="35"/>
    </i>
    <i>
      <x v="14"/>
    </i>
    <i>
      <x v="21"/>
    </i>
    <i t="grand">
      <x/>
    </i>
  </rowItems>
  <colItems count="1">
    <i/>
  </colItems>
  <dataFields count="1">
    <dataField name="Average of salary_in_usd" fld="7" subtotal="average"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080917-6395-42D3-9F16-9EF078A448AA}"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5">
    <pivotField dataField="1" showAll="0"/>
    <pivotField showAll="0">
      <items count="5">
        <item x="0"/>
        <item x="1"/>
        <item x="2"/>
        <item x="3"/>
        <item t="default"/>
      </items>
    </pivotField>
    <pivotField showAll="0">
      <items count="6">
        <item x="0"/>
        <item x="3"/>
        <item x="1"/>
        <item x="2"/>
        <item h="1" x="4"/>
        <item t="default"/>
      </items>
    </pivotField>
    <pivotField showAll="0">
      <items count="6">
        <item x="1"/>
        <item x="3"/>
        <item x="0"/>
        <item x="2"/>
        <item x="4"/>
        <item t="default"/>
      </items>
    </pivotField>
    <pivotField showAll="0"/>
    <pivotField showAll="0"/>
    <pivotField showAll="0"/>
    <pivotField showAll="0"/>
    <pivotField showAll="0"/>
    <pivotField showAll="0"/>
    <pivotField showAll="0"/>
    <pivotField showAll="0">
      <items count="47">
        <item x="23"/>
        <item x="17"/>
        <item x="24"/>
        <item x="39"/>
        <item x="37"/>
        <item x="26"/>
        <item x="15"/>
        <item x="34"/>
        <item x="19"/>
        <item x="13"/>
        <item x="41"/>
        <item x="6"/>
        <item x="7"/>
        <item x="10"/>
        <item x="1"/>
        <item x="9"/>
        <item x="29"/>
        <item x="20"/>
        <item x="43"/>
        <item x="21"/>
        <item x="31"/>
        <item x="3"/>
        <item x="11"/>
        <item x="35"/>
        <item x="8"/>
        <item x="2"/>
        <item x="14"/>
        <item x="18"/>
        <item x="36"/>
        <item x="32"/>
        <item x="33"/>
        <item x="5"/>
        <item x="4"/>
        <item x="42"/>
        <item x="22"/>
        <item x="27"/>
        <item x="25"/>
        <item x="30"/>
        <item x="44"/>
        <item x="28"/>
        <item x="38"/>
        <item x="40"/>
        <item x="12"/>
        <item x="0"/>
        <item x="16"/>
        <item x="45"/>
        <item t="default"/>
      </items>
    </pivotField>
    <pivotField axis="axisRow" showAll="0">
      <items count="5">
        <item x="0"/>
        <item x="2"/>
        <item x="1"/>
        <item h="1" x="3"/>
        <item t="default"/>
      </items>
    </pivotField>
    <pivotField showAll="0">
      <items count="5">
        <item x="2"/>
        <item x="1"/>
        <item x="0"/>
        <item x="3"/>
        <item t="default"/>
      </items>
    </pivotField>
    <pivotField showAll="0"/>
  </pivotFields>
  <rowFields count="1">
    <field x="12"/>
  </rowFields>
  <rowItems count="4">
    <i>
      <x/>
    </i>
    <i>
      <x v="1"/>
    </i>
    <i>
      <x v="2"/>
    </i>
    <i t="grand">
      <x/>
    </i>
  </rowItems>
  <colItems count="1">
    <i/>
  </colItems>
  <dataFields count="1">
    <dataField name="Count of Index" fld="0" subtotal="count" showDataAs="percentOfCol" baseField="12" baseItem="0" numFmtId="10"/>
  </dataFields>
  <chartFormats count="4">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2" count="1" selected="0">
            <x v="1"/>
          </reference>
        </references>
      </pivotArea>
    </chartFormat>
    <chartFormat chart="2" format="5">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154C86-D3F6-4B8E-BEDC-ED163430D4B7}"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25:G30" firstHeaderRow="1" firstDataRow="1" firstDataCol="1" rowPageCount="1" colPageCount="1"/>
  <pivotFields count="15">
    <pivotField showAll="0"/>
    <pivotField axis="axisPage" showAll="0">
      <items count="5">
        <item x="0"/>
        <item x="1"/>
        <item x="2"/>
        <item x="3"/>
        <item t="default"/>
      </items>
    </pivotField>
    <pivotField axis="axisRow" showAll="0">
      <items count="6">
        <item x="0"/>
        <item x="3"/>
        <item x="1"/>
        <item x="2"/>
        <item h="1" x="4"/>
        <item t="default"/>
      </items>
    </pivotField>
    <pivotField showAll="0">
      <items count="6">
        <item x="1"/>
        <item x="3"/>
        <item x="0"/>
        <item x="2"/>
        <item x="4"/>
        <item t="default"/>
      </items>
    </pivotField>
    <pivotField showAll="0"/>
    <pivotField showAll="0"/>
    <pivotField showAll="0"/>
    <pivotField dataField="1" showAll="0"/>
    <pivotField showAll="0"/>
    <pivotField showAll="0"/>
    <pivotField showAll="0"/>
    <pivotField showAll="0">
      <items count="47">
        <item x="23"/>
        <item x="17"/>
        <item x="24"/>
        <item x="39"/>
        <item x="37"/>
        <item x="26"/>
        <item x="15"/>
        <item x="34"/>
        <item x="19"/>
        <item x="13"/>
        <item x="41"/>
        <item x="6"/>
        <item x="7"/>
        <item x="10"/>
        <item x="1"/>
        <item x="9"/>
        <item x="29"/>
        <item x="20"/>
        <item x="43"/>
        <item x="21"/>
        <item x="31"/>
        <item x="3"/>
        <item x="11"/>
        <item x="35"/>
        <item x="8"/>
        <item x="2"/>
        <item x="14"/>
        <item x="18"/>
        <item x="36"/>
        <item x="32"/>
        <item x="33"/>
        <item x="5"/>
        <item x="4"/>
        <item x="42"/>
        <item x="22"/>
        <item x="27"/>
        <item x="25"/>
        <item x="30"/>
        <item x="44"/>
        <item x="28"/>
        <item x="38"/>
        <item x="40"/>
        <item x="12"/>
        <item x="0"/>
        <item x="16"/>
        <item x="45"/>
        <item t="default"/>
      </items>
    </pivotField>
    <pivotField showAll="0"/>
    <pivotField showAll="0">
      <items count="5">
        <item x="2"/>
        <item x="1"/>
        <item x="0"/>
        <item x="3"/>
        <item t="default"/>
      </items>
    </pivotField>
    <pivotField showAll="0" sortType="ascending">
      <items count="6">
        <item x="0"/>
        <item x="1"/>
        <item x="2"/>
        <item x="3"/>
        <item x="4"/>
        <item t="default"/>
      </items>
    </pivotField>
  </pivotFields>
  <rowFields count="1">
    <field x="2"/>
  </rowFields>
  <rowItems count="5">
    <i>
      <x/>
    </i>
    <i>
      <x v="1"/>
    </i>
    <i>
      <x v="2"/>
    </i>
    <i>
      <x v="3"/>
    </i>
    <i t="grand">
      <x/>
    </i>
  </rowItems>
  <colItems count="1">
    <i/>
  </colItems>
  <pageFields count="1">
    <pageField fld="1" hier="-1"/>
  </pageFields>
  <dataFields count="1">
    <dataField name="Sum of salary_in_usd" fld="7" baseField="0" baseItem="0"/>
  </dataField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year" xr10:uid="{684D7398-F495-4F80-8016-FFC0608F9903}" sourceName="work_year">
  <pivotTables>
    <pivotTable tabId="2" name="PivotTable3"/>
    <pivotTable tabId="2" name="PivotTable1"/>
    <pivotTable tabId="2" name="PivotTable2"/>
    <pivotTable tabId="2" name="PivotTable4"/>
  </pivotTables>
  <data>
    <tabular pivotCacheId="1362984540">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B0A9F5E7-AEE6-4A05-8F0E-19C3162A632B}" sourceName="experience_level">
  <pivotTables>
    <pivotTable tabId="2" name="PivotTable3"/>
    <pivotTable tabId="2" name="PivotTable1"/>
    <pivotTable tabId="2" name="PivotTable2"/>
    <pivotTable tabId="2" name="PivotTable4"/>
  </pivotTables>
  <data>
    <tabular pivotCacheId="1362984540">
      <items count="5">
        <i x="0" s="1"/>
        <i x="3" s="1"/>
        <i x="1" s="1"/>
        <i x="2"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3BE89F69-E79E-4246-8361-B74FB7E9B069}" sourceName="employment_type">
  <pivotTables>
    <pivotTable tabId="2" name="PivotTable3"/>
    <pivotTable tabId="2" name="PivotTable1"/>
    <pivotTable tabId="2" name="PivotTable2"/>
    <pivotTable tabId="2" name="PivotTable4"/>
  </pivotTables>
  <data>
    <tabular pivotCacheId="1362984540">
      <items count="5">
        <i x="1" s="1"/>
        <i x="3" s="1"/>
        <i x="0" s="1"/>
        <i x="2"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location" xr10:uid="{B14E922E-E4D0-4EA3-A2AA-F8D60EF842FA}" sourceName="company_location">
  <pivotTables>
    <pivotTable tabId="2" name="PivotTable3"/>
    <pivotTable tabId="2" name="PivotTable1"/>
    <pivotTable tabId="2" name="PivotTable2"/>
    <pivotTable tabId="2" name="PivotTable4"/>
  </pivotTables>
  <data>
    <tabular pivotCacheId="1362984540">
      <items count="46">
        <i x="23" s="1"/>
        <i x="17" s="1"/>
        <i x="24" s="1"/>
        <i x="39" s="1"/>
        <i x="37" s="1"/>
        <i x="26" s="1"/>
        <i x="15" s="1"/>
        <i x="34" s="1"/>
        <i x="19" s="1"/>
        <i x="13" s="1"/>
        <i x="41" s="1"/>
        <i x="6" s="1"/>
        <i x="7" s="1"/>
        <i x="10" s="1"/>
        <i x="1" s="1"/>
        <i x="9" s="1"/>
        <i x="29" s="1"/>
        <i x="20" s="1"/>
        <i x="43" s="1"/>
        <i x="21" s="1"/>
        <i x="31" s="1"/>
        <i x="3" s="1"/>
        <i x="11" s="1"/>
        <i x="35" s="1"/>
        <i x="8" s="1"/>
        <i x="2" s="1"/>
        <i x="14" s="1"/>
        <i x="18" s="1"/>
        <i x="36" s="1"/>
        <i x="32" s="1"/>
        <i x="33" s="1"/>
        <i x="5" s="1"/>
        <i x="4" s="1"/>
        <i x="42" s="1"/>
        <i x="22" s="1"/>
        <i x="27" s="1"/>
        <i x="25" s="1"/>
        <i x="30" s="1"/>
        <i x="44" s="1"/>
        <i x="28" s="1"/>
        <i x="38" s="1"/>
        <i x="40" s="1"/>
        <i x="12" s="1"/>
        <i x="0" s="1"/>
        <i x="16" s="1"/>
        <i x="4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label" xr10:uid="{F9CBF3AA-85CE-4896-88F7-BBF6884BC3D2}" sourceName="remote_label">
  <pivotTables>
    <pivotTable tabId="2" name="PivotTable3"/>
    <pivotTable tabId="2" name="PivotTable1"/>
    <pivotTable tabId="2" name="PivotTable2"/>
    <pivotTable tabId="2" name="PivotTable4"/>
  </pivotTables>
  <data>
    <tabular pivotCacheId="1362984540">
      <items count="4">
        <i x="2" s="1"/>
        <i x="1"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_year" xr10:uid="{55C595F1-CCCA-456D-924F-A24D84D9F71A}" cache="Slicer_work_year" caption="work_year" rowHeight="209550"/>
  <slicer name="experience_level" xr10:uid="{257DC4EF-F596-4904-A496-B53A8F0C3081}" cache="Slicer_experience_level" caption="experience_level" rowHeight="209550"/>
  <slicer name="employment_type" xr10:uid="{CD8E7FBF-7719-4759-BAD5-12DBCA5AD969}" cache="Slicer_employment_type" caption="employment_type" rowHeight="209550"/>
  <slicer name="company_location" xr10:uid="{20D3BECD-FBF4-4FE9-8AF7-B62589E4EA30}" cache="Slicer_company_location" caption="company_location" rowHeight="209550"/>
  <slicer name="remote_label" xr10:uid="{17008BBE-BA4C-41C8-A4D5-40C382CBC2D1}" cache="Slicer_remote_label" caption="remote_label"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_year 1" xr10:uid="{C828EFE5-58EE-43EF-AC2D-BECB09D71B95}" cache="Slicer_work_year" caption="work_year" style="SlicerStyleDark5" rowHeight="209550"/>
  <slicer name="experience_level 1" xr10:uid="{5DC47953-539F-42DF-AF5B-B11ABEE4B769}" cache="Slicer_experience_level" caption="experience_level" style="SlicerStyleDark5" rowHeight="209550"/>
  <slicer name="employment_type 1" xr10:uid="{D808CC1A-B391-4975-9952-514EB030F588}" cache="Slicer_employment_type" caption="employment_type" style="SlicerStyleDark5" rowHeight="209550"/>
  <slicer name="company_location 1" xr10:uid="{C8993EE2-2F21-4410-A1B6-5ACE3431EFDB}" cache="Slicer_company_location" caption="company_location" style="SlicerStyleDark5" rowHeight="209550"/>
  <slicer name="remote_label 1" xr10:uid="{07298317-F99F-44E1-8F1F-EA881CF83DA1}" cache="Slicer_remote_label" caption="remote_label" style="SlicerStyleDark5"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3C8CD6-6AD1-40C2-B7A2-51965FF9E7A8}" name="Data" displayName="Data" ref="A1:O303" totalsRowShown="0" headerRowDxfId="16" dataDxfId="15">
  <autoFilter ref="A1:O303" xr:uid="{DA3C8CD6-6AD1-40C2-B7A2-51965FF9E7A8}"/>
  <sortState xmlns:xlrd2="http://schemas.microsoft.com/office/spreadsheetml/2017/richdata2" ref="A2:O303">
    <sortCondition ref="O1:O303"/>
  </sortState>
  <tableColumns count="15">
    <tableColumn id="1" xr3:uid="{51E27F10-1B1B-48E8-8A95-EDF6D6C5EC91}" name="Index" dataDxfId="14"/>
    <tableColumn id="2" xr3:uid="{8CB81F3B-7DB5-4E29-BEE3-B3E3BAD80A40}" name="work_year" dataDxfId="13"/>
    <tableColumn id="3" xr3:uid="{E1FB32D7-9D3D-4912-A363-15A829AF3781}" name="experience_level" dataDxfId="12"/>
    <tableColumn id="4" xr3:uid="{99A3D91B-21D4-4A78-B055-839D2A2D0536}" name="employment_type" dataDxfId="11"/>
    <tableColumn id="5" xr3:uid="{53557D06-9304-4D85-A061-DDD1B15CEBC2}" name="job_title" dataDxfId="10"/>
    <tableColumn id="6" xr3:uid="{120F5EAD-A81A-4D8B-AEBE-D109DB347632}" name="salary" dataDxfId="9"/>
    <tableColumn id="7" xr3:uid="{9443B8AE-4E04-4944-B0DE-1DFFC34741B5}" name="salary_currency" dataDxfId="8"/>
    <tableColumn id="8" xr3:uid="{5B8CFBFC-FB0E-4B51-B2CD-A3E84FD1EC45}" name="salary_in_usd" dataDxfId="7"/>
    <tableColumn id="9" xr3:uid="{B3EBB0BC-B785-48EA-9E00-ECD027C91FDC}" name="salary_in_rupee" dataDxfId="6">
      <calculatedColumnFormula>H2*83.12</calculatedColumnFormula>
    </tableColumn>
    <tableColumn id="10" xr3:uid="{748F5938-2839-44AF-935B-0824EB6A1FDF}" name="employee_residence" dataDxfId="5"/>
    <tableColumn id="11" xr3:uid="{7399CCF1-1A9B-4D37-90EF-0F565636F7D3}" name="remote_ratio" dataDxfId="4"/>
    <tableColumn id="12" xr3:uid="{2514AEB8-CFC3-46BB-9175-0F9236ADBEE1}" name="company_location" dataDxfId="3"/>
    <tableColumn id="13" xr3:uid="{24CBA622-E4F1-440F-B91B-07B2F4A9478C}" name="company_size" dataDxfId="2"/>
    <tableColumn id="14" xr3:uid="{A95FC544-844F-4D68-B22A-081D9ED248F1}" name="remote_label" dataDxfId="1">
      <calculatedColumnFormula>IF(K2=0,"Onsite",IF(K2=50,"Hybrid","Remote"))</calculatedColumnFormula>
    </tableColumn>
    <tableColumn id="15" xr3:uid="{1813C317-C332-41AC-A2DD-4A8376FC93EE}" name="exp_ord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95463-0991-4909-8B32-4B1003CC2149}">
  <dimension ref="A2:H30"/>
  <sheetViews>
    <sheetView zoomScale="84" workbookViewId="0">
      <selection activeCell="H13" sqref="H13"/>
    </sheetView>
  </sheetViews>
  <sheetFormatPr defaultRowHeight="13.8" x14ac:dyDescent="0.3"/>
  <cols>
    <col min="1" max="1" width="12.33203125" bestFit="1" customWidth="1"/>
    <col min="2" max="2" width="12.5546875" bestFit="1" customWidth="1"/>
    <col min="3" max="3" width="28.44140625" bestFit="1" customWidth="1"/>
    <col min="4" max="4" width="20.88671875" bestFit="1" customWidth="1"/>
    <col min="6" max="6" width="12.33203125" bestFit="1" customWidth="1"/>
    <col min="7" max="7" width="17.88671875" bestFit="1" customWidth="1"/>
    <col min="8" max="8" width="12.5546875" bestFit="1" customWidth="1"/>
    <col min="9" max="9" width="16.6640625" customWidth="1"/>
  </cols>
  <sheetData>
    <row r="2" spans="1:8" x14ac:dyDescent="0.3">
      <c r="G2" s="10" t="s">
        <v>435</v>
      </c>
      <c r="H2" t="s">
        <v>440</v>
      </c>
    </row>
    <row r="3" spans="1:8" x14ac:dyDescent="0.3">
      <c r="A3" s="10" t="s">
        <v>436</v>
      </c>
      <c r="B3" t="s">
        <v>438</v>
      </c>
    </row>
    <row r="4" spans="1:8" x14ac:dyDescent="0.3">
      <c r="A4" s="11" t="s">
        <v>18</v>
      </c>
      <c r="B4" s="12">
        <v>0.50666666666666671</v>
      </c>
      <c r="C4" s="10" t="s">
        <v>436</v>
      </c>
      <c r="D4" t="s">
        <v>439</v>
      </c>
      <c r="G4" s="10" t="s">
        <v>436</v>
      </c>
      <c r="H4" t="s">
        <v>438</v>
      </c>
    </row>
    <row r="5" spans="1:8" x14ac:dyDescent="0.3">
      <c r="A5" s="11" t="s">
        <v>29</v>
      </c>
      <c r="B5" s="12">
        <v>0.26</v>
      </c>
      <c r="C5" s="11" t="s">
        <v>192</v>
      </c>
      <c r="D5" s="13">
        <v>450000</v>
      </c>
      <c r="G5" s="11" t="s">
        <v>37</v>
      </c>
      <c r="H5" s="13">
        <v>67</v>
      </c>
    </row>
    <row r="6" spans="1:8" x14ac:dyDescent="0.3">
      <c r="A6" s="11" t="s">
        <v>24</v>
      </c>
      <c r="B6" s="12">
        <v>0.23333333333333334</v>
      </c>
      <c r="C6" s="11" t="s">
        <v>221</v>
      </c>
      <c r="D6" s="13">
        <v>328333.33333333331</v>
      </c>
      <c r="G6" s="11" t="s">
        <v>80</v>
      </c>
      <c r="H6" s="13">
        <v>13</v>
      </c>
    </row>
    <row r="7" spans="1:8" x14ac:dyDescent="0.3">
      <c r="A7" s="11" t="s">
        <v>437</v>
      </c>
      <c r="B7" s="12">
        <v>1</v>
      </c>
      <c r="C7" s="11" t="s">
        <v>235</v>
      </c>
      <c r="D7" s="13">
        <v>230700</v>
      </c>
      <c r="G7" s="11" t="s">
        <v>13</v>
      </c>
      <c r="H7" s="13">
        <v>126</v>
      </c>
    </row>
    <row r="8" spans="1:8" x14ac:dyDescent="0.3">
      <c r="C8" s="11" t="s">
        <v>134</v>
      </c>
      <c r="D8" s="13">
        <v>224003.83333333334</v>
      </c>
      <c r="G8" s="11" t="s">
        <v>20</v>
      </c>
      <c r="H8" s="13">
        <v>94</v>
      </c>
    </row>
    <row r="9" spans="1:8" x14ac:dyDescent="0.3">
      <c r="C9" s="11" t="s">
        <v>81</v>
      </c>
      <c r="D9" s="13">
        <v>194756.5</v>
      </c>
      <c r="G9" s="11" t="s">
        <v>437</v>
      </c>
      <c r="H9" s="13">
        <v>300</v>
      </c>
    </row>
    <row r="10" spans="1:8" x14ac:dyDescent="0.3">
      <c r="C10" s="11" t="s">
        <v>158</v>
      </c>
      <c r="D10" s="13">
        <v>189279.66666666666</v>
      </c>
    </row>
    <row r="11" spans="1:8" x14ac:dyDescent="0.3">
      <c r="C11" s="11" t="s">
        <v>376</v>
      </c>
      <c r="D11" s="13">
        <v>170000</v>
      </c>
    </row>
    <row r="12" spans="1:8" x14ac:dyDescent="0.3">
      <c r="C12" s="11" t="s">
        <v>21</v>
      </c>
      <c r="D12" s="13">
        <v>168400</v>
      </c>
    </row>
    <row r="13" spans="1:8" x14ac:dyDescent="0.3">
      <c r="C13" s="11" t="s">
        <v>281</v>
      </c>
      <c r="D13" s="13">
        <v>166666.66666666666</v>
      </c>
    </row>
    <row r="14" spans="1:8" x14ac:dyDescent="0.3">
      <c r="C14" s="11" t="s">
        <v>276</v>
      </c>
      <c r="D14" s="13">
        <v>165000</v>
      </c>
    </row>
    <row r="15" spans="1:8" x14ac:dyDescent="0.3">
      <c r="C15" s="11" t="s">
        <v>437</v>
      </c>
      <c r="D15" s="13">
        <v>214638.74193548388</v>
      </c>
    </row>
    <row r="23" spans="6:7" x14ac:dyDescent="0.3">
      <c r="F23" s="10" t="s">
        <v>1</v>
      </c>
      <c r="G23" t="s">
        <v>440</v>
      </c>
    </row>
    <row r="25" spans="6:7" x14ac:dyDescent="0.3">
      <c r="F25" s="10" t="s">
        <v>436</v>
      </c>
      <c r="G25" t="s">
        <v>441</v>
      </c>
    </row>
    <row r="26" spans="6:7" x14ac:dyDescent="0.3">
      <c r="F26" s="11" t="s">
        <v>37</v>
      </c>
      <c r="G26" s="13">
        <v>4050720</v>
      </c>
    </row>
    <row r="27" spans="6:7" x14ac:dyDescent="0.3">
      <c r="F27" s="11" t="s">
        <v>80</v>
      </c>
      <c r="G27" s="13">
        <v>2866113</v>
      </c>
    </row>
    <row r="28" spans="6:7" x14ac:dyDescent="0.3">
      <c r="F28" s="11" t="s">
        <v>13</v>
      </c>
      <c r="G28" s="13">
        <v>10984510</v>
      </c>
    </row>
    <row r="29" spans="6:7" x14ac:dyDescent="0.3">
      <c r="F29" s="11" t="s">
        <v>20</v>
      </c>
      <c r="G29" s="13">
        <v>12039046</v>
      </c>
    </row>
    <row r="30" spans="6:7" x14ac:dyDescent="0.3">
      <c r="F30" s="11" t="s">
        <v>437</v>
      </c>
      <c r="G30" s="13">
        <v>29940389</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AA867-A8F3-4A86-81CF-3E97DD855300}">
  <dimension ref="P11:P13"/>
  <sheetViews>
    <sheetView showGridLines="0" tabSelected="1" zoomScale="70" zoomScaleNormal="55" workbookViewId="0">
      <selection activeCell="U3" sqref="U3"/>
    </sheetView>
  </sheetViews>
  <sheetFormatPr defaultRowHeight="13.8" x14ac:dyDescent="0.3"/>
  <sheetData>
    <row r="11" spans="16:16" x14ac:dyDescent="0.3">
      <c r="P11" s="15"/>
    </row>
    <row r="13" spans="16:16" x14ac:dyDescent="0.3">
      <c r="P13"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303"/>
  <sheetViews>
    <sheetView topLeftCell="L1" workbookViewId="0">
      <pane ySplit="1" topLeftCell="A2" activePane="bottomLeft" state="frozen"/>
      <selection activeCell="H1" sqref="H1"/>
      <selection pane="bottomLeft" activeCell="O1" sqref="O1"/>
    </sheetView>
  </sheetViews>
  <sheetFormatPr defaultColWidth="12.6640625" defaultRowHeight="15.75" customHeight="1" x14ac:dyDescent="0.3"/>
  <cols>
    <col min="3" max="3" width="16.88671875" customWidth="1"/>
    <col min="4" max="4" width="18.44140625" customWidth="1"/>
    <col min="7" max="7" width="16.5546875" customWidth="1"/>
    <col min="8" max="8" width="14.6640625" customWidth="1"/>
    <col min="9" max="9" width="16.5546875" customWidth="1"/>
    <col min="10" max="10" width="20.77734375" customWidth="1"/>
    <col min="11" max="11" width="14.21875" style="9" customWidth="1"/>
    <col min="12" max="12" width="19" customWidth="1"/>
    <col min="13" max="13" width="14.77734375" customWidth="1"/>
  </cols>
  <sheetData>
    <row r="1" spans="1:15" ht="15.75" customHeight="1" x14ac:dyDescent="0.3">
      <c r="A1" s="1" t="s">
        <v>0</v>
      </c>
      <c r="B1" s="1" t="s">
        <v>1</v>
      </c>
      <c r="C1" s="1" t="s">
        <v>2</v>
      </c>
      <c r="D1" s="1" t="s">
        <v>3</v>
      </c>
      <c r="E1" s="1" t="s">
        <v>4</v>
      </c>
      <c r="F1" s="1" t="s">
        <v>5</v>
      </c>
      <c r="G1" s="1" t="s">
        <v>6</v>
      </c>
      <c r="H1" s="6" t="s">
        <v>7</v>
      </c>
      <c r="I1" s="1" t="s">
        <v>433</v>
      </c>
      <c r="J1" s="1" t="s">
        <v>8</v>
      </c>
      <c r="K1" s="6" t="s">
        <v>9</v>
      </c>
      <c r="L1" s="1" t="s">
        <v>10</v>
      </c>
      <c r="M1" s="1" t="s">
        <v>11</v>
      </c>
      <c r="N1" s="1" t="s">
        <v>434</v>
      </c>
      <c r="O1" s="1" t="s">
        <v>435</v>
      </c>
    </row>
    <row r="2" spans="1:15" ht="15.75" customHeight="1" x14ac:dyDescent="0.3">
      <c r="A2" s="4" t="s">
        <v>36</v>
      </c>
      <c r="B2" s="4">
        <v>2020</v>
      </c>
      <c r="C2" s="5" t="s">
        <v>37</v>
      </c>
      <c r="D2" s="5" t="s">
        <v>14</v>
      </c>
      <c r="E2" s="5" t="s">
        <v>38</v>
      </c>
      <c r="F2" s="4">
        <v>72000</v>
      </c>
      <c r="G2" s="5" t="s">
        <v>22</v>
      </c>
      <c r="H2" s="4">
        <v>72000</v>
      </c>
      <c r="I2" s="2">
        <f>H2*83.12</f>
        <v>5984640</v>
      </c>
      <c r="J2" s="5" t="s">
        <v>35</v>
      </c>
      <c r="K2" s="8">
        <v>100</v>
      </c>
      <c r="L2" s="5" t="s">
        <v>35</v>
      </c>
      <c r="M2" s="5" t="s">
        <v>18</v>
      </c>
      <c r="N2" s="5" t="str">
        <f>IF(K2=0,"Onsite",IF(K2=50,"Hybrid","Remote"))</f>
        <v>Remote</v>
      </c>
      <c r="O2" s="5">
        <f>IF(C2="Entrylevel",1,IF(C2="Intermediate",2,IF(C2="Senior",3,4)))</f>
        <v>1</v>
      </c>
    </row>
    <row r="3" spans="1:15" ht="15.75" customHeight="1" x14ac:dyDescent="0.3">
      <c r="A3" s="2" t="s">
        <v>49</v>
      </c>
      <c r="B3" s="2">
        <v>2020</v>
      </c>
      <c r="C3" s="3" t="s">
        <v>37</v>
      </c>
      <c r="D3" s="3" t="s">
        <v>14</v>
      </c>
      <c r="E3" s="3" t="s">
        <v>15</v>
      </c>
      <c r="F3" s="2">
        <v>45000</v>
      </c>
      <c r="G3" s="3" t="s">
        <v>16</v>
      </c>
      <c r="H3" s="2">
        <v>51321</v>
      </c>
      <c r="I3" s="2">
        <f>H3*83.12</f>
        <v>4265801.5200000005</v>
      </c>
      <c r="J3" s="3" t="s">
        <v>50</v>
      </c>
      <c r="K3" s="7">
        <v>0</v>
      </c>
      <c r="L3" s="3" t="s">
        <v>50</v>
      </c>
      <c r="M3" s="3" t="s">
        <v>24</v>
      </c>
      <c r="N3" s="5" t="str">
        <f>IF(K3=0,"Onsite",IF(K3=50,"Hybrid","Remote"))</f>
        <v>Onsite</v>
      </c>
      <c r="O3" s="5">
        <f>IF(C3="Entrylevel",1,IF(C3="Intermediate",2,IF(C3="Senior",3,4)))</f>
        <v>1</v>
      </c>
    </row>
    <row r="4" spans="1:15" ht="15.75" customHeight="1" x14ac:dyDescent="0.3">
      <c r="A4" s="2" t="s">
        <v>54</v>
      </c>
      <c r="B4" s="2">
        <v>2020</v>
      </c>
      <c r="C4" s="3" t="s">
        <v>37</v>
      </c>
      <c r="D4" s="3" t="s">
        <v>14</v>
      </c>
      <c r="E4" s="3" t="s">
        <v>15</v>
      </c>
      <c r="F4" s="2">
        <v>35000</v>
      </c>
      <c r="G4" s="3" t="s">
        <v>16</v>
      </c>
      <c r="H4" s="2">
        <v>39916</v>
      </c>
      <c r="I4" s="2">
        <f>H4*83.12</f>
        <v>3317817.9200000004</v>
      </c>
      <c r="J4" s="3" t="s">
        <v>50</v>
      </c>
      <c r="K4" s="7">
        <v>0</v>
      </c>
      <c r="L4" s="3" t="s">
        <v>50</v>
      </c>
      <c r="M4" s="3" t="s">
        <v>29</v>
      </c>
      <c r="N4" s="5" t="str">
        <f>IF(K4=0,"Onsite",IF(K4=50,"Hybrid","Remote"))</f>
        <v>Onsite</v>
      </c>
      <c r="O4" s="5">
        <f>IF(C4="Entrylevel",1,IF(C4="Intermediate",2,IF(C4="Senior",3,4)))</f>
        <v>1</v>
      </c>
    </row>
    <row r="5" spans="1:15" ht="15.75" customHeight="1" x14ac:dyDescent="0.3">
      <c r="A5" s="2" t="s">
        <v>60</v>
      </c>
      <c r="B5" s="2">
        <v>2020</v>
      </c>
      <c r="C5" s="3" t="s">
        <v>37</v>
      </c>
      <c r="D5" s="3" t="s">
        <v>14</v>
      </c>
      <c r="E5" s="3" t="s">
        <v>61</v>
      </c>
      <c r="F5" s="2">
        <v>4450000</v>
      </c>
      <c r="G5" s="3" t="s">
        <v>62</v>
      </c>
      <c r="H5" s="2">
        <v>41689</v>
      </c>
      <c r="I5" s="2">
        <f>H5*83.12</f>
        <v>3465189.68</v>
      </c>
      <c r="J5" s="3" t="s">
        <v>23</v>
      </c>
      <c r="K5" s="7">
        <v>100</v>
      </c>
      <c r="L5" s="3" t="s">
        <v>23</v>
      </c>
      <c r="M5" s="3" t="s">
        <v>24</v>
      </c>
      <c r="N5" s="5" t="str">
        <f>IF(K5=0,"Onsite",IF(K5=50,"Hybrid","Remote"))</f>
        <v>Remote</v>
      </c>
      <c r="O5" s="5">
        <f>IF(C5="Entrylevel",1,IF(C5="Intermediate",2,IF(C5="Senior",3,4)))</f>
        <v>1</v>
      </c>
    </row>
    <row r="6" spans="1:15" ht="15.75" customHeight="1" x14ac:dyDescent="0.3">
      <c r="A6" s="2" t="s">
        <v>65</v>
      </c>
      <c r="B6" s="2">
        <v>2020</v>
      </c>
      <c r="C6" s="3" t="s">
        <v>37</v>
      </c>
      <c r="D6" s="3" t="s">
        <v>14</v>
      </c>
      <c r="E6" s="3" t="s">
        <v>66</v>
      </c>
      <c r="F6" s="2">
        <v>423000</v>
      </c>
      <c r="G6" s="3" t="s">
        <v>52</v>
      </c>
      <c r="H6" s="2">
        <v>5707</v>
      </c>
      <c r="I6" s="2">
        <f>H6*83.12</f>
        <v>474365.84</v>
      </c>
      <c r="J6" s="3" t="s">
        <v>53</v>
      </c>
      <c r="K6" s="7">
        <v>50</v>
      </c>
      <c r="L6" s="3" t="s">
        <v>53</v>
      </c>
      <c r="M6" s="3" t="s">
        <v>29</v>
      </c>
      <c r="N6" s="5" t="str">
        <f>IF(K6=0,"Onsite",IF(K6=50,"Hybrid","Remote"))</f>
        <v>Hybrid</v>
      </c>
      <c r="O6" s="5">
        <f>IF(C6="Entrylevel",1,IF(C6="Intermediate",2,IF(C6="Senior",3,4)))</f>
        <v>1</v>
      </c>
    </row>
    <row r="7" spans="1:15" ht="15.75" customHeight="1" x14ac:dyDescent="0.3">
      <c r="A7" s="2" t="s">
        <v>82</v>
      </c>
      <c r="B7" s="2">
        <v>2020</v>
      </c>
      <c r="C7" s="3" t="s">
        <v>37</v>
      </c>
      <c r="D7" s="3" t="s">
        <v>14</v>
      </c>
      <c r="E7" s="3" t="s">
        <v>83</v>
      </c>
      <c r="F7" s="2">
        <v>42000</v>
      </c>
      <c r="G7" s="3" t="s">
        <v>22</v>
      </c>
      <c r="H7" s="2">
        <v>42000</v>
      </c>
      <c r="I7" s="2">
        <f>H7*83.12</f>
        <v>3491040</v>
      </c>
      <c r="J7" s="3" t="s">
        <v>84</v>
      </c>
      <c r="K7" s="7">
        <v>50</v>
      </c>
      <c r="L7" s="3" t="s">
        <v>84</v>
      </c>
      <c r="M7" s="3" t="s">
        <v>18</v>
      </c>
      <c r="N7" s="5" t="str">
        <f>IF(K7=0,"Onsite",IF(K7=50,"Hybrid","Remote"))</f>
        <v>Hybrid</v>
      </c>
      <c r="O7" s="5">
        <f>IF(C7="Entrylevel",1,IF(C7="Intermediate",2,IF(C7="Senior",3,4)))</f>
        <v>1</v>
      </c>
    </row>
    <row r="8" spans="1:15" ht="15.75" customHeight="1" x14ac:dyDescent="0.3">
      <c r="A8" s="2" t="s">
        <v>88</v>
      </c>
      <c r="B8" s="2">
        <v>2020</v>
      </c>
      <c r="C8" s="3" t="s">
        <v>37</v>
      </c>
      <c r="D8" s="3" t="s">
        <v>89</v>
      </c>
      <c r="E8" s="3" t="s">
        <v>45</v>
      </c>
      <c r="F8" s="2">
        <v>100000</v>
      </c>
      <c r="G8" s="3" t="s">
        <v>22</v>
      </c>
      <c r="H8" s="2">
        <v>100000</v>
      </c>
      <c r="I8" s="2">
        <f>H8*83.12</f>
        <v>8312000</v>
      </c>
      <c r="J8" s="3" t="s">
        <v>35</v>
      </c>
      <c r="K8" s="7">
        <v>100</v>
      </c>
      <c r="L8" s="3" t="s">
        <v>35</v>
      </c>
      <c r="M8" s="3" t="s">
        <v>18</v>
      </c>
      <c r="N8" s="5" t="str">
        <f>IF(K8=0,"Onsite",IF(K8=50,"Hybrid","Remote"))</f>
        <v>Remote</v>
      </c>
      <c r="O8" s="5">
        <f>IF(C8="Entrylevel",1,IF(C8="Intermediate",2,IF(C8="Senior",3,4)))</f>
        <v>1</v>
      </c>
    </row>
    <row r="9" spans="1:15" ht="15.75" customHeight="1" x14ac:dyDescent="0.3">
      <c r="A9" s="4" t="s">
        <v>96</v>
      </c>
      <c r="B9" s="4">
        <v>2020</v>
      </c>
      <c r="C9" s="5" t="s">
        <v>37</v>
      </c>
      <c r="D9" s="5" t="s">
        <v>14</v>
      </c>
      <c r="E9" s="5" t="s">
        <v>26</v>
      </c>
      <c r="F9" s="4">
        <v>70000</v>
      </c>
      <c r="G9" s="5" t="s">
        <v>22</v>
      </c>
      <c r="H9" s="4">
        <v>70000</v>
      </c>
      <c r="I9" s="2">
        <f>H9*83.12</f>
        <v>5818400</v>
      </c>
      <c r="J9" s="5" t="s">
        <v>35</v>
      </c>
      <c r="K9" s="8">
        <v>100</v>
      </c>
      <c r="L9" s="5" t="s">
        <v>35</v>
      </c>
      <c r="M9" s="5" t="s">
        <v>18</v>
      </c>
      <c r="N9" s="5" t="str">
        <f>IF(K9=0,"Onsite",IF(K9=50,"Hybrid","Remote"))</f>
        <v>Remote</v>
      </c>
      <c r="O9" s="5">
        <f>IF(C9="Entrylevel",1,IF(C9="Intermediate",2,IF(C9="Senior",3,4)))</f>
        <v>1</v>
      </c>
    </row>
    <row r="10" spans="1:15" ht="15.75" customHeight="1" x14ac:dyDescent="0.3">
      <c r="A10" s="4" t="s">
        <v>103</v>
      </c>
      <c r="B10" s="4">
        <v>2020</v>
      </c>
      <c r="C10" s="5" t="s">
        <v>37</v>
      </c>
      <c r="D10" s="5" t="s">
        <v>14</v>
      </c>
      <c r="E10" s="5" t="s">
        <v>34</v>
      </c>
      <c r="F10" s="4">
        <v>250000</v>
      </c>
      <c r="G10" s="5" t="s">
        <v>22</v>
      </c>
      <c r="H10" s="4">
        <v>250000</v>
      </c>
      <c r="I10" s="2">
        <f>H10*83.12</f>
        <v>20780000</v>
      </c>
      <c r="J10" s="5" t="s">
        <v>35</v>
      </c>
      <c r="K10" s="8">
        <v>50</v>
      </c>
      <c r="L10" s="5" t="s">
        <v>35</v>
      </c>
      <c r="M10" s="5" t="s">
        <v>18</v>
      </c>
      <c r="N10" s="5" t="str">
        <f>IF(K10=0,"Onsite",IF(K10=50,"Hybrid","Remote"))</f>
        <v>Hybrid</v>
      </c>
      <c r="O10" s="5">
        <f>IF(C10="Entrylevel",1,IF(C10="Intermediate",2,IF(C10="Senior",3,4)))</f>
        <v>1</v>
      </c>
    </row>
    <row r="11" spans="1:15" ht="15.75" customHeight="1" x14ac:dyDescent="0.3">
      <c r="A11" s="2" t="s">
        <v>104</v>
      </c>
      <c r="B11" s="2">
        <v>2020</v>
      </c>
      <c r="C11" s="3" t="s">
        <v>37</v>
      </c>
      <c r="D11" s="3" t="s">
        <v>14</v>
      </c>
      <c r="E11" s="3" t="s">
        <v>38</v>
      </c>
      <c r="F11" s="2">
        <v>10000</v>
      </c>
      <c r="G11" s="3" t="s">
        <v>22</v>
      </c>
      <c r="H11" s="2">
        <v>10000</v>
      </c>
      <c r="I11" s="2">
        <f>H11*83.12</f>
        <v>831200</v>
      </c>
      <c r="J11" s="3" t="s">
        <v>105</v>
      </c>
      <c r="K11" s="7">
        <v>100</v>
      </c>
      <c r="L11" s="3" t="s">
        <v>105</v>
      </c>
      <c r="M11" s="3" t="s">
        <v>24</v>
      </c>
      <c r="N11" s="5" t="str">
        <f>IF(K11=0,"Onsite",IF(K11=50,"Hybrid","Remote"))</f>
        <v>Remote</v>
      </c>
      <c r="O11" s="5">
        <f>IF(C11="Entrylevel",1,IF(C11="Intermediate",2,IF(C11="Senior",3,4)))</f>
        <v>1</v>
      </c>
    </row>
    <row r="12" spans="1:15" ht="15.75" customHeight="1" x14ac:dyDescent="0.3">
      <c r="A12" s="4" t="s">
        <v>106</v>
      </c>
      <c r="B12" s="4">
        <v>2020</v>
      </c>
      <c r="C12" s="5" t="s">
        <v>37</v>
      </c>
      <c r="D12" s="5" t="s">
        <v>14</v>
      </c>
      <c r="E12" s="5" t="s">
        <v>34</v>
      </c>
      <c r="F12" s="4">
        <v>138000</v>
      </c>
      <c r="G12" s="5" t="s">
        <v>22</v>
      </c>
      <c r="H12" s="4">
        <v>138000</v>
      </c>
      <c r="I12" s="2">
        <f>H12*83.12</f>
        <v>11470560</v>
      </c>
      <c r="J12" s="5" t="s">
        <v>35</v>
      </c>
      <c r="K12" s="8">
        <v>100</v>
      </c>
      <c r="L12" s="5" t="s">
        <v>35</v>
      </c>
      <c r="M12" s="5" t="s">
        <v>24</v>
      </c>
      <c r="N12" s="5" t="str">
        <f>IF(K12=0,"Onsite",IF(K12=50,"Hybrid","Remote"))</f>
        <v>Remote</v>
      </c>
      <c r="O12" s="5">
        <f>IF(C12="Entrylevel",1,IF(C12="Intermediate",2,IF(C12="Senior",3,4)))</f>
        <v>1</v>
      </c>
    </row>
    <row r="13" spans="1:15" ht="15.75" customHeight="1" x14ac:dyDescent="0.3">
      <c r="A13" s="4" t="s">
        <v>115</v>
      </c>
      <c r="B13" s="4">
        <v>2020</v>
      </c>
      <c r="C13" s="5" t="s">
        <v>37</v>
      </c>
      <c r="D13" s="5" t="s">
        <v>116</v>
      </c>
      <c r="E13" s="5" t="s">
        <v>117</v>
      </c>
      <c r="F13" s="4">
        <v>14000</v>
      </c>
      <c r="G13" s="5" t="s">
        <v>16</v>
      </c>
      <c r="H13" s="4">
        <v>15966</v>
      </c>
      <c r="I13" s="2">
        <f>H13*83.12</f>
        <v>1327093.9200000002</v>
      </c>
      <c r="J13" s="5" t="s">
        <v>17</v>
      </c>
      <c r="K13" s="8">
        <v>100</v>
      </c>
      <c r="L13" s="5" t="s">
        <v>17</v>
      </c>
      <c r="M13" s="5" t="s">
        <v>24</v>
      </c>
      <c r="N13" s="5" t="str">
        <f>IF(K13=0,"Onsite",IF(K13=50,"Hybrid","Remote"))</f>
        <v>Remote</v>
      </c>
      <c r="O13" s="5">
        <f>IF(C13="Entrylevel",1,IF(C13="Intermediate",2,IF(C13="Senior",3,4)))</f>
        <v>1</v>
      </c>
    </row>
    <row r="14" spans="1:15" ht="15.75" customHeight="1" x14ac:dyDescent="0.3">
      <c r="A14" s="2" t="s">
        <v>122</v>
      </c>
      <c r="B14" s="2">
        <v>2020</v>
      </c>
      <c r="C14" s="3" t="s">
        <v>37</v>
      </c>
      <c r="D14" s="3" t="s">
        <v>14</v>
      </c>
      <c r="E14" s="3" t="s">
        <v>38</v>
      </c>
      <c r="F14" s="2">
        <v>450000</v>
      </c>
      <c r="G14" s="3" t="s">
        <v>52</v>
      </c>
      <c r="H14" s="2">
        <v>6072</v>
      </c>
      <c r="I14" s="2">
        <f>H14*83.12</f>
        <v>504704.64</v>
      </c>
      <c r="J14" s="3" t="s">
        <v>53</v>
      </c>
      <c r="K14" s="7">
        <v>0</v>
      </c>
      <c r="L14" s="3" t="s">
        <v>53</v>
      </c>
      <c r="M14" s="3" t="s">
        <v>24</v>
      </c>
      <c r="N14" s="5" t="str">
        <f>IF(K14=0,"Onsite",IF(K14=50,"Hybrid","Remote"))</f>
        <v>Onsite</v>
      </c>
      <c r="O14" s="5">
        <f>IF(C14="Entrylevel",1,IF(C14="Intermediate",2,IF(C14="Senior",3,4)))</f>
        <v>1</v>
      </c>
    </row>
    <row r="15" spans="1:15" ht="15.75" customHeight="1" x14ac:dyDescent="0.3">
      <c r="A15" s="4" t="s">
        <v>123</v>
      </c>
      <c r="B15" s="4">
        <v>2020</v>
      </c>
      <c r="C15" s="5" t="s">
        <v>37</v>
      </c>
      <c r="D15" s="5" t="s">
        <v>14</v>
      </c>
      <c r="E15" s="5" t="s">
        <v>38</v>
      </c>
      <c r="F15" s="4">
        <v>91000</v>
      </c>
      <c r="G15" s="5" t="s">
        <v>22</v>
      </c>
      <c r="H15" s="4">
        <v>91000</v>
      </c>
      <c r="I15" s="2">
        <f>H15*83.12</f>
        <v>7563920</v>
      </c>
      <c r="J15" s="5" t="s">
        <v>35</v>
      </c>
      <c r="K15" s="8">
        <v>100</v>
      </c>
      <c r="L15" s="5" t="s">
        <v>35</v>
      </c>
      <c r="M15" s="5" t="s">
        <v>18</v>
      </c>
      <c r="N15" s="5" t="str">
        <f>IF(K15=0,"Onsite",IF(K15=50,"Hybrid","Remote"))</f>
        <v>Remote</v>
      </c>
      <c r="O15" s="5">
        <f>IF(C15="Entrylevel",1,IF(C15="Intermediate",2,IF(C15="Senior",3,4)))</f>
        <v>1</v>
      </c>
    </row>
    <row r="16" spans="1:15" ht="15.75" customHeight="1" x14ac:dyDescent="0.3">
      <c r="A16" s="2" t="s">
        <v>124</v>
      </c>
      <c r="B16" s="2">
        <v>2020</v>
      </c>
      <c r="C16" s="3" t="s">
        <v>37</v>
      </c>
      <c r="D16" s="3" t="s">
        <v>14</v>
      </c>
      <c r="E16" s="3" t="s">
        <v>125</v>
      </c>
      <c r="F16" s="2">
        <v>300000</v>
      </c>
      <c r="G16" s="3" t="s">
        <v>126</v>
      </c>
      <c r="H16" s="2">
        <v>45896</v>
      </c>
      <c r="I16" s="2">
        <f>H16*83.12</f>
        <v>3814875.52</v>
      </c>
      <c r="J16" s="3" t="s">
        <v>127</v>
      </c>
      <c r="K16" s="7">
        <v>50</v>
      </c>
      <c r="L16" s="3" t="s">
        <v>127</v>
      </c>
      <c r="M16" s="3" t="s">
        <v>24</v>
      </c>
      <c r="N16" s="5" t="str">
        <f>IF(K16=0,"Onsite",IF(K16=50,"Hybrid","Remote"))</f>
        <v>Hybrid</v>
      </c>
      <c r="O16" s="5">
        <f>IF(C16="Entrylevel",1,IF(C16="Intermediate",2,IF(C16="Senior",3,4)))</f>
        <v>1</v>
      </c>
    </row>
    <row r="17" spans="1:15" ht="15.75" customHeight="1" x14ac:dyDescent="0.3">
      <c r="A17" s="4" t="s">
        <v>128</v>
      </c>
      <c r="B17" s="4">
        <v>2020</v>
      </c>
      <c r="C17" s="5" t="s">
        <v>37</v>
      </c>
      <c r="D17" s="5" t="s">
        <v>14</v>
      </c>
      <c r="E17" s="5" t="s">
        <v>61</v>
      </c>
      <c r="F17" s="4">
        <v>48000</v>
      </c>
      <c r="G17" s="5" t="s">
        <v>16</v>
      </c>
      <c r="H17" s="4">
        <v>54742</v>
      </c>
      <c r="I17" s="2">
        <f>H17*83.12</f>
        <v>4550155.04</v>
      </c>
      <c r="J17" s="5" t="s">
        <v>59</v>
      </c>
      <c r="K17" s="8">
        <v>100</v>
      </c>
      <c r="L17" s="5" t="s">
        <v>17</v>
      </c>
      <c r="M17" s="5" t="s">
        <v>18</v>
      </c>
      <c r="N17" s="5" t="str">
        <f>IF(K17=0,"Onsite",IF(K17=50,"Hybrid","Remote"))</f>
        <v>Remote</v>
      </c>
      <c r="O17" s="5">
        <f>IF(C17="Entrylevel",1,IF(C17="Intermediate",2,IF(C17="Senior",3,4)))</f>
        <v>1</v>
      </c>
    </row>
    <row r="18" spans="1:15" ht="15.75" customHeight="1" x14ac:dyDescent="0.3">
      <c r="A18" s="2" t="s">
        <v>141</v>
      </c>
      <c r="B18" s="2">
        <v>2020</v>
      </c>
      <c r="C18" s="3" t="s">
        <v>37</v>
      </c>
      <c r="D18" s="3" t="s">
        <v>116</v>
      </c>
      <c r="E18" s="3" t="s">
        <v>15</v>
      </c>
      <c r="F18" s="2">
        <v>19000</v>
      </c>
      <c r="G18" s="3" t="s">
        <v>16</v>
      </c>
      <c r="H18" s="2">
        <v>21669</v>
      </c>
      <c r="I18" s="2">
        <f>H18*83.12</f>
        <v>1801127.28</v>
      </c>
      <c r="J18" s="3" t="s">
        <v>142</v>
      </c>
      <c r="K18" s="7">
        <v>50</v>
      </c>
      <c r="L18" s="3" t="s">
        <v>142</v>
      </c>
      <c r="M18" s="3" t="s">
        <v>24</v>
      </c>
      <c r="N18" s="5" t="str">
        <f>IF(K18=0,"Onsite",IF(K18=50,"Hybrid","Remote"))</f>
        <v>Hybrid</v>
      </c>
      <c r="O18" s="5">
        <f>IF(C18="Entrylevel",1,IF(C18="Intermediate",2,IF(C18="Senior",3,4)))</f>
        <v>1</v>
      </c>
    </row>
    <row r="19" spans="1:15" ht="15.75" customHeight="1" x14ac:dyDescent="0.3">
      <c r="A19" s="4" t="s">
        <v>146</v>
      </c>
      <c r="B19" s="4">
        <v>2020</v>
      </c>
      <c r="C19" s="5" t="s">
        <v>37</v>
      </c>
      <c r="D19" s="5" t="s">
        <v>14</v>
      </c>
      <c r="E19" s="5" t="s">
        <v>15</v>
      </c>
      <c r="F19" s="4">
        <v>55000</v>
      </c>
      <c r="G19" s="5" t="s">
        <v>16</v>
      </c>
      <c r="H19" s="4">
        <v>62726</v>
      </c>
      <c r="I19" s="2">
        <f>H19*83.12</f>
        <v>5213785.12</v>
      </c>
      <c r="J19" s="5" t="s">
        <v>17</v>
      </c>
      <c r="K19" s="8">
        <v>50</v>
      </c>
      <c r="L19" s="5" t="s">
        <v>17</v>
      </c>
      <c r="M19" s="5" t="s">
        <v>24</v>
      </c>
      <c r="N19" s="5" t="str">
        <f>IF(K19=0,"Onsite",IF(K19=50,"Hybrid","Remote"))</f>
        <v>Hybrid</v>
      </c>
      <c r="O19" s="5">
        <f>IF(C19="Entrylevel",1,IF(C19="Intermediate",2,IF(C19="Senior",3,4)))</f>
        <v>1</v>
      </c>
    </row>
    <row r="20" spans="1:15" ht="14.4" x14ac:dyDescent="0.3">
      <c r="A20" s="2" t="s">
        <v>147</v>
      </c>
      <c r="B20" s="2">
        <v>2020</v>
      </c>
      <c r="C20" s="3" t="s">
        <v>37</v>
      </c>
      <c r="D20" s="3" t="s">
        <v>14</v>
      </c>
      <c r="E20" s="3" t="s">
        <v>15</v>
      </c>
      <c r="F20" s="2">
        <v>43200</v>
      </c>
      <c r="G20" s="3" t="s">
        <v>16</v>
      </c>
      <c r="H20" s="2">
        <v>49268</v>
      </c>
      <c r="I20" s="2">
        <f>H20*83.12</f>
        <v>4095156.16</v>
      </c>
      <c r="J20" s="3" t="s">
        <v>17</v>
      </c>
      <c r="K20" s="7">
        <v>0</v>
      </c>
      <c r="L20" s="3" t="s">
        <v>17</v>
      </c>
      <c r="M20" s="3" t="s">
        <v>24</v>
      </c>
      <c r="N20" s="5" t="str">
        <f>IF(K20=0,"Onsite",IF(K20=50,"Hybrid","Remote"))</f>
        <v>Onsite</v>
      </c>
      <c r="O20" s="5">
        <f>IF(C20="Entrylevel",1,IF(C20="Intermediate",2,IF(C20="Senior",3,4)))</f>
        <v>1</v>
      </c>
    </row>
    <row r="21" spans="1:15" ht="14.4" x14ac:dyDescent="0.3">
      <c r="A21" s="2" t="s">
        <v>150</v>
      </c>
      <c r="B21" s="2">
        <v>2020</v>
      </c>
      <c r="C21" s="3" t="s">
        <v>37</v>
      </c>
      <c r="D21" s="3" t="s">
        <v>14</v>
      </c>
      <c r="E21" s="3" t="s">
        <v>15</v>
      </c>
      <c r="F21" s="2">
        <v>105000</v>
      </c>
      <c r="G21" s="3" t="s">
        <v>22</v>
      </c>
      <c r="H21" s="2">
        <v>105000</v>
      </c>
      <c r="I21" s="2">
        <f>H21*83.12</f>
        <v>8727600</v>
      </c>
      <c r="J21" s="3" t="s">
        <v>35</v>
      </c>
      <c r="K21" s="7">
        <v>100</v>
      </c>
      <c r="L21" s="3" t="s">
        <v>35</v>
      </c>
      <c r="M21" s="3" t="s">
        <v>24</v>
      </c>
      <c r="N21" s="5" t="str">
        <f>IF(K21=0,"Onsite",IF(K21=50,"Hybrid","Remote"))</f>
        <v>Remote</v>
      </c>
      <c r="O21" s="5">
        <f>IF(C21="Entrylevel",1,IF(C21="Intermediate",2,IF(C21="Senior",3,4)))</f>
        <v>1</v>
      </c>
    </row>
    <row r="22" spans="1:15" ht="14.4" x14ac:dyDescent="0.3">
      <c r="A22" s="2" t="s">
        <v>155</v>
      </c>
      <c r="B22" s="2">
        <v>2021</v>
      </c>
      <c r="C22" s="3" t="s">
        <v>37</v>
      </c>
      <c r="D22" s="3" t="s">
        <v>14</v>
      </c>
      <c r="E22" s="3" t="s">
        <v>83</v>
      </c>
      <c r="F22" s="2">
        <v>60000</v>
      </c>
      <c r="G22" s="3" t="s">
        <v>27</v>
      </c>
      <c r="H22" s="2">
        <v>82528</v>
      </c>
      <c r="I22" s="2">
        <f>H22*83.12</f>
        <v>6859727.3600000003</v>
      </c>
      <c r="J22" s="3" t="s">
        <v>28</v>
      </c>
      <c r="K22" s="7">
        <v>50</v>
      </c>
      <c r="L22" s="3" t="s">
        <v>28</v>
      </c>
      <c r="M22" s="3" t="s">
        <v>18</v>
      </c>
      <c r="N22" s="5" t="str">
        <f>IF(K22=0,"Onsite",IF(K22=50,"Hybrid","Remote"))</f>
        <v>Hybrid</v>
      </c>
      <c r="O22" s="5">
        <f>IF(C22="Entrylevel",1,IF(C22="Intermediate",2,IF(C22="Senior",3,4)))</f>
        <v>1</v>
      </c>
    </row>
    <row r="23" spans="1:15" ht="14.4" x14ac:dyDescent="0.3">
      <c r="A23" s="4" t="s">
        <v>164</v>
      </c>
      <c r="B23" s="4">
        <v>2021</v>
      </c>
      <c r="C23" s="5" t="s">
        <v>37</v>
      </c>
      <c r="D23" s="5" t="s">
        <v>14</v>
      </c>
      <c r="E23" s="5" t="s">
        <v>38</v>
      </c>
      <c r="F23" s="4">
        <v>80000</v>
      </c>
      <c r="G23" s="5" t="s">
        <v>22</v>
      </c>
      <c r="H23" s="4">
        <v>80000</v>
      </c>
      <c r="I23" s="2">
        <f>H23*83.12</f>
        <v>6649600</v>
      </c>
      <c r="J23" s="5" t="s">
        <v>35</v>
      </c>
      <c r="K23" s="8">
        <v>100</v>
      </c>
      <c r="L23" s="5" t="s">
        <v>35</v>
      </c>
      <c r="M23" s="5" t="s">
        <v>29</v>
      </c>
      <c r="N23" s="5" t="str">
        <f>IF(K23=0,"Onsite",IF(K23=50,"Hybrid","Remote"))</f>
        <v>Remote</v>
      </c>
      <c r="O23" s="5">
        <f>IF(C23="Entrylevel",1,IF(C23="Intermediate",2,IF(C23="Senior",3,4)))</f>
        <v>1</v>
      </c>
    </row>
    <row r="24" spans="1:15" ht="14.4" x14ac:dyDescent="0.3">
      <c r="A24" s="2" t="s">
        <v>174</v>
      </c>
      <c r="B24" s="2">
        <v>2021</v>
      </c>
      <c r="C24" s="3" t="s">
        <v>37</v>
      </c>
      <c r="D24" s="3" t="s">
        <v>14</v>
      </c>
      <c r="E24" s="3" t="s">
        <v>38</v>
      </c>
      <c r="F24" s="2">
        <v>50000</v>
      </c>
      <c r="G24" s="3" t="s">
        <v>16</v>
      </c>
      <c r="H24" s="2">
        <v>59102</v>
      </c>
      <c r="I24" s="2">
        <f>H24*83.12</f>
        <v>4912558.24</v>
      </c>
      <c r="J24" s="3" t="s">
        <v>50</v>
      </c>
      <c r="K24" s="7">
        <v>50</v>
      </c>
      <c r="L24" s="3" t="s">
        <v>50</v>
      </c>
      <c r="M24" s="3" t="s">
        <v>29</v>
      </c>
      <c r="N24" s="5" t="str">
        <f>IF(K24=0,"Onsite",IF(K24=50,"Hybrid","Remote"))</f>
        <v>Hybrid</v>
      </c>
      <c r="O24" s="5">
        <f>IF(C24="Entrylevel",1,IF(C24="Intermediate",2,IF(C24="Senior",3,4)))</f>
        <v>1</v>
      </c>
    </row>
    <row r="25" spans="1:15" ht="14.4" x14ac:dyDescent="0.3">
      <c r="A25" s="4" t="s">
        <v>181</v>
      </c>
      <c r="B25" s="4">
        <v>2021</v>
      </c>
      <c r="C25" s="5" t="s">
        <v>37</v>
      </c>
      <c r="D25" s="5" t="s">
        <v>14</v>
      </c>
      <c r="E25" s="5" t="s">
        <v>66</v>
      </c>
      <c r="F25" s="4">
        <v>65000</v>
      </c>
      <c r="G25" s="5" t="s">
        <v>16</v>
      </c>
      <c r="H25" s="4">
        <v>76833</v>
      </c>
      <c r="I25" s="2">
        <f>H25*83.12</f>
        <v>6386358.96</v>
      </c>
      <c r="J25" s="5" t="s">
        <v>17</v>
      </c>
      <c r="K25" s="8">
        <v>100</v>
      </c>
      <c r="L25" s="5" t="s">
        <v>17</v>
      </c>
      <c r="M25" s="5" t="s">
        <v>24</v>
      </c>
      <c r="N25" s="5" t="str">
        <f>IF(K25=0,"Onsite",IF(K25=50,"Hybrid","Remote"))</f>
        <v>Remote</v>
      </c>
      <c r="O25" s="5">
        <f>IF(C25="Entrylevel",1,IF(C25="Intermediate",2,IF(C25="Senior",3,4)))</f>
        <v>1</v>
      </c>
    </row>
    <row r="26" spans="1:15" ht="14.4" x14ac:dyDescent="0.3">
      <c r="A26" s="2" t="s">
        <v>184</v>
      </c>
      <c r="B26" s="2">
        <v>2021</v>
      </c>
      <c r="C26" s="3" t="s">
        <v>37</v>
      </c>
      <c r="D26" s="3" t="s">
        <v>14</v>
      </c>
      <c r="E26" s="3" t="s">
        <v>15</v>
      </c>
      <c r="F26" s="2">
        <v>2200000</v>
      </c>
      <c r="G26" s="3" t="s">
        <v>52</v>
      </c>
      <c r="H26" s="2">
        <v>29751</v>
      </c>
      <c r="I26" s="2">
        <f>H26*83.12</f>
        <v>2472903.12</v>
      </c>
      <c r="J26" s="3" t="s">
        <v>53</v>
      </c>
      <c r="K26" s="7">
        <v>50</v>
      </c>
      <c r="L26" s="3" t="s">
        <v>53</v>
      </c>
      <c r="M26" s="3" t="s">
        <v>18</v>
      </c>
      <c r="N26" s="5" t="str">
        <f>IF(K26=0,"Onsite",IF(K26=50,"Hybrid","Remote"))</f>
        <v>Hybrid</v>
      </c>
      <c r="O26" s="5">
        <f>IF(C26="Entrylevel",1,IF(C26="Intermediate",2,IF(C26="Senior",3,4)))</f>
        <v>1</v>
      </c>
    </row>
    <row r="27" spans="1:15" ht="14.4" x14ac:dyDescent="0.3">
      <c r="A27" s="2" t="s">
        <v>189</v>
      </c>
      <c r="B27" s="2">
        <v>2021</v>
      </c>
      <c r="C27" s="3" t="s">
        <v>37</v>
      </c>
      <c r="D27" s="3" t="s">
        <v>116</v>
      </c>
      <c r="E27" s="3" t="s">
        <v>125</v>
      </c>
      <c r="F27" s="2">
        <v>12000</v>
      </c>
      <c r="G27" s="3" t="s">
        <v>22</v>
      </c>
      <c r="H27" s="2">
        <v>12000</v>
      </c>
      <c r="I27" s="2">
        <f>H27*83.12</f>
        <v>997440</v>
      </c>
      <c r="J27" s="3" t="s">
        <v>190</v>
      </c>
      <c r="K27" s="7">
        <v>100</v>
      </c>
      <c r="L27" s="3" t="s">
        <v>35</v>
      </c>
      <c r="M27" s="3" t="s">
        <v>24</v>
      </c>
      <c r="N27" s="5" t="str">
        <f>IF(K27=0,"Onsite",IF(K27=50,"Hybrid","Remote"))</f>
        <v>Remote</v>
      </c>
      <c r="O27" s="5">
        <f>IF(C27="Entrylevel",1,IF(C27="Intermediate",2,IF(C27="Senior",3,4)))</f>
        <v>1</v>
      </c>
    </row>
    <row r="28" spans="1:15" ht="14.4" x14ac:dyDescent="0.3">
      <c r="A28" s="2" t="s">
        <v>193</v>
      </c>
      <c r="B28" s="2">
        <v>2021</v>
      </c>
      <c r="C28" s="3" t="s">
        <v>37</v>
      </c>
      <c r="D28" s="3" t="s">
        <v>14</v>
      </c>
      <c r="E28" s="3" t="s">
        <v>194</v>
      </c>
      <c r="F28" s="2">
        <v>70000</v>
      </c>
      <c r="G28" s="3" t="s">
        <v>22</v>
      </c>
      <c r="H28" s="2">
        <v>70000</v>
      </c>
      <c r="I28" s="2">
        <f>H28*83.12</f>
        <v>5818400</v>
      </c>
      <c r="J28" s="3" t="s">
        <v>35</v>
      </c>
      <c r="K28" s="7">
        <v>100</v>
      </c>
      <c r="L28" s="3" t="s">
        <v>35</v>
      </c>
      <c r="M28" s="3" t="s">
        <v>29</v>
      </c>
      <c r="N28" s="5" t="str">
        <f>IF(K28=0,"Onsite",IF(K28=50,"Hybrid","Remote"))</f>
        <v>Remote</v>
      </c>
      <c r="O28" s="5">
        <f>IF(C28="Entrylevel",1,IF(C28="Intermediate",2,IF(C28="Senior",3,4)))</f>
        <v>1</v>
      </c>
    </row>
    <row r="29" spans="1:15" ht="14.4" x14ac:dyDescent="0.3">
      <c r="A29" s="4" t="s">
        <v>205</v>
      </c>
      <c r="B29" s="4">
        <v>2021</v>
      </c>
      <c r="C29" s="5" t="s">
        <v>37</v>
      </c>
      <c r="D29" s="5" t="s">
        <v>14</v>
      </c>
      <c r="E29" s="5" t="s">
        <v>61</v>
      </c>
      <c r="F29" s="4">
        <v>2250000</v>
      </c>
      <c r="G29" s="5" t="s">
        <v>52</v>
      </c>
      <c r="H29" s="4">
        <v>30428</v>
      </c>
      <c r="I29" s="2">
        <f>H29*83.12</f>
        <v>2529175.3600000003</v>
      </c>
      <c r="J29" s="5" t="s">
        <v>53</v>
      </c>
      <c r="K29" s="8">
        <v>100</v>
      </c>
      <c r="L29" s="5" t="s">
        <v>53</v>
      </c>
      <c r="M29" s="5" t="s">
        <v>18</v>
      </c>
      <c r="N29" s="5" t="str">
        <f>IF(K29=0,"Onsite",IF(K29=50,"Hybrid","Remote"))</f>
        <v>Remote</v>
      </c>
      <c r="O29" s="5">
        <f>IF(C29="Entrylevel",1,IF(C29="Intermediate",2,IF(C29="Senior",3,4)))</f>
        <v>1</v>
      </c>
    </row>
    <row r="30" spans="1:15" ht="14.4" x14ac:dyDescent="0.3">
      <c r="A30" s="4" t="s">
        <v>210</v>
      </c>
      <c r="B30" s="4">
        <v>2021</v>
      </c>
      <c r="C30" s="5" t="s">
        <v>37</v>
      </c>
      <c r="D30" s="5" t="s">
        <v>116</v>
      </c>
      <c r="E30" s="5" t="s">
        <v>125</v>
      </c>
      <c r="F30" s="4">
        <v>12000</v>
      </c>
      <c r="G30" s="5" t="s">
        <v>22</v>
      </c>
      <c r="H30" s="4">
        <v>12000</v>
      </c>
      <c r="I30" s="2">
        <f>H30*83.12</f>
        <v>997440</v>
      </c>
      <c r="J30" s="5" t="s">
        <v>59</v>
      </c>
      <c r="K30" s="8">
        <v>100</v>
      </c>
      <c r="L30" s="5" t="s">
        <v>35</v>
      </c>
      <c r="M30" s="5" t="s">
        <v>29</v>
      </c>
      <c r="N30" s="5" t="str">
        <f>IF(K30=0,"Onsite",IF(K30=50,"Hybrid","Remote"))</f>
        <v>Remote</v>
      </c>
      <c r="O30" s="5">
        <f>IF(C30="Entrylevel",1,IF(C30="Intermediate",2,IF(C30="Senior",3,4)))</f>
        <v>1</v>
      </c>
    </row>
    <row r="31" spans="1:15" ht="14.4" x14ac:dyDescent="0.3">
      <c r="A31" s="4" t="s">
        <v>212</v>
      </c>
      <c r="B31" s="4">
        <v>2021</v>
      </c>
      <c r="C31" s="5" t="s">
        <v>37</v>
      </c>
      <c r="D31" s="5" t="s">
        <v>14</v>
      </c>
      <c r="E31" s="5" t="s">
        <v>21</v>
      </c>
      <c r="F31" s="4">
        <v>225000</v>
      </c>
      <c r="G31" s="5" t="s">
        <v>22</v>
      </c>
      <c r="H31" s="4">
        <v>225000</v>
      </c>
      <c r="I31" s="2">
        <f>H31*83.12</f>
        <v>18702000</v>
      </c>
      <c r="J31" s="5" t="s">
        <v>35</v>
      </c>
      <c r="K31" s="8">
        <v>100</v>
      </c>
      <c r="L31" s="5" t="s">
        <v>35</v>
      </c>
      <c r="M31" s="5" t="s">
        <v>18</v>
      </c>
      <c r="N31" s="5" t="str">
        <f>IF(K31=0,"Onsite",IF(K31=50,"Hybrid","Remote"))</f>
        <v>Remote</v>
      </c>
      <c r="O31" s="5">
        <f>IF(C31="Entrylevel",1,IF(C31="Intermediate",2,IF(C31="Senior",3,4)))</f>
        <v>1</v>
      </c>
    </row>
    <row r="32" spans="1:15" ht="14.4" x14ac:dyDescent="0.3">
      <c r="A32" s="2" t="s">
        <v>216</v>
      </c>
      <c r="B32" s="2">
        <v>2021</v>
      </c>
      <c r="C32" s="3" t="s">
        <v>37</v>
      </c>
      <c r="D32" s="3" t="s">
        <v>14</v>
      </c>
      <c r="E32" s="3" t="s">
        <v>38</v>
      </c>
      <c r="F32" s="2">
        <v>90000</v>
      </c>
      <c r="G32" s="3" t="s">
        <v>22</v>
      </c>
      <c r="H32" s="2">
        <v>90000</v>
      </c>
      <c r="I32" s="2">
        <f>H32*83.12</f>
        <v>7480800</v>
      </c>
      <c r="J32" s="3" t="s">
        <v>35</v>
      </c>
      <c r="K32" s="7">
        <v>100</v>
      </c>
      <c r="L32" s="3" t="s">
        <v>35</v>
      </c>
      <c r="M32" s="3" t="s">
        <v>24</v>
      </c>
      <c r="N32" s="5" t="str">
        <f>IF(K32=0,"Onsite",IF(K32=50,"Hybrid","Remote"))</f>
        <v>Remote</v>
      </c>
      <c r="O32" s="5">
        <f>IF(C32="Entrylevel",1,IF(C32="Intermediate",2,IF(C32="Senior",3,4)))</f>
        <v>1</v>
      </c>
    </row>
    <row r="33" spans="1:15" ht="14.4" x14ac:dyDescent="0.3">
      <c r="A33" s="2" t="s">
        <v>222</v>
      </c>
      <c r="B33" s="2">
        <v>2021</v>
      </c>
      <c r="C33" s="3" t="s">
        <v>37</v>
      </c>
      <c r="D33" s="3" t="s">
        <v>14</v>
      </c>
      <c r="E33" s="3" t="s">
        <v>38</v>
      </c>
      <c r="F33" s="2">
        <v>50000</v>
      </c>
      <c r="G33" s="3" t="s">
        <v>22</v>
      </c>
      <c r="H33" s="2">
        <v>50000</v>
      </c>
      <c r="I33" s="2">
        <f>H33*83.12</f>
        <v>4156000</v>
      </c>
      <c r="J33" s="3" t="s">
        <v>35</v>
      </c>
      <c r="K33" s="7">
        <v>100</v>
      </c>
      <c r="L33" s="3" t="s">
        <v>35</v>
      </c>
      <c r="M33" s="3" t="s">
        <v>29</v>
      </c>
      <c r="N33" s="5" t="str">
        <f>IF(K33=0,"Onsite",IF(K33=50,"Hybrid","Remote"))</f>
        <v>Remote</v>
      </c>
      <c r="O33" s="5">
        <f>IF(C33="Entrylevel",1,IF(C33="Intermediate",2,IF(C33="Senior",3,4)))</f>
        <v>1</v>
      </c>
    </row>
    <row r="34" spans="1:15" ht="14.4" x14ac:dyDescent="0.3">
      <c r="A34" s="4" t="s">
        <v>223</v>
      </c>
      <c r="B34" s="4">
        <v>2021</v>
      </c>
      <c r="C34" s="5" t="s">
        <v>37</v>
      </c>
      <c r="D34" s="5" t="s">
        <v>14</v>
      </c>
      <c r="E34" s="5" t="s">
        <v>169</v>
      </c>
      <c r="F34" s="4">
        <v>80000</v>
      </c>
      <c r="G34" s="5" t="s">
        <v>27</v>
      </c>
      <c r="H34" s="4">
        <v>110037</v>
      </c>
      <c r="I34" s="2">
        <f>H34*83.12</f>
        <v>9146275.4400000013</v>
      </c>
      <c r="J34" s="5" t="s">
        <v>28</v>
      </c>
      <c r="K34" s="8">
        <v>0</v>
      </c>
      <c r="L34" s="5" t="s">
        <v>28</v>
      </c>
      <c r="M34" s="5" t="s">
        <v>18</v>
      </c>
      <c r="N34" s="5" t="str">
        <f>IF(K34=0,"Onsite",IF(K34=50,"Hybrid","Remote"))</f>
        <v>Onsite</v>
      </c>
      <c r="O34" s="5">
        <f>IF(C34="Entrylevel",1,IF(C34="Intermediate",2,IF(C34="Senior",3,4)))</f>
        <v>1</v>
      </c>
    </row>
    <row r="35" spans="1:15" ht="14.4" x14ac:dyDescent="0.3">
      <c r="A35" s="2" t="s">
        <v>224</v>
      </c>
      <c r="B35" s="2">
        <v>2021</v>
      </c>
      <c r="C35" s="3" t="s">
        <v>37</v>
      </c>
      <c r="D35" s="3" t="s">
        <v>116</v>
      </c>
      <c r="E35" s="3" t="s">
        <v>38</v>
      </c>
      <c r="F35" s="2">
        <v>8760</v>
      </c>
      <c r="G35" s="3" t="s">
        <v>16</v>
      </c>
      <c r="H35" s="2">
        <v>10354</v>
      </c>
      <c r="I35" s="2">
        <f>H35*83.12</f>
        <v>860624.4800000001</v>
      </c>
      <c r="J35" s="3" t="s">
        <v>110</v>
      </c>
      <c r="K35" s="7">
        <v>50</v>
      </c>
      <c r="L35" s="3" t="s">
        <v>110</v>
      </c>
      <c r="M35" s="3" t="s">
        <v>29</v>
      </c>
      <c r="N35" s="5" t="str">
        <f>IF(K35=0,"Onsite",IF(K35=50,"Hybrid","Remote"))</f>
        <v>Hybrid</v>
      </c>
      <c r="O35" s="5">
        <f>IF(C35="Entrylevel",1,IF(C35="Intermediate",2,IF(C35="Senior",3,4)))</f>
        <v>1</v>
      </c>
    </row>
    <row r="36" spans="1:15" ht="14.4" x14ac:dyDescent="0.3">
      <c r="A36" s="2" t="s">
        <v>228</v>
      </c>
      <c r="B36" s="2">
        <v>2021</v>
      </c>
      <c r="C36" s="3" t="s">
        <v>37</v>
      </c>
      <c r="D36" s="3" t="s">
        <v>14</v>
      </c>
      <c r="E36" s="3" t="s">
        <v>34</v>
      </c>
      <c r="F36" s="2">
        <v>20000</v>
      </c>
      <c r="G36" s="3" t="s">
        <v>22</v>
      </c>
      <c r="H36" s="2">
        <v>20000</v>
      </c>
      <c r="I36" s="2">
        <f>H36*83.12</f>
        <v>1662400</v>
      </c>
      <c r="J36" s="3" t="s">
        <v>53</v>
      </c>
      <c r="K36" s="7">
        <v>100</v>
      </c>
      <c r="L36" s="3" t="s">
        <v>53</v>
      </c>
      <c r="M36" s="3" t="s">
        <v>24</v>
      </c>
      <c r="N36" s="5" t="str">
        <f>IF(K36=0,"Onsite",IF(K36=50,"Hybrid","Remote"))</f>
        <v>Remote</v>
      </c>
      <c r="O36" s="5">
        <f>IF(C36="Entrylevel",1,IF(C36="Intermediate",2,IF(C36="Senior",3,4)))</f>
        <v>1</v>
      </c>
    </row>
    <row r="37" spans="1:15" ht="14.4" x14ac:dyDescent="0.3">
      <c r="A37" s="2" t="s">
        <v>230</v>
      </c>
      <c r="B37" s="2">
        <v>2021</v>
      </c>
      <c r="C37" s="3" t="s">
        <v>37</v>
      </c>
      <c r="D37" s="3" t="s">
        <v>14</v>
      </c>
      <c r="E37" s="3" t="s">
        <v>231</v>
      </c>
      <c r="F37" s="2">
        <v>100000</v>
      </c>
      <c r="G37" s="3" t="s">
        <v>22</v>
      </c>
      <c r="H37" s="2">
        <v>100000</v>
      </c>
      <c r="I37" s="2">
        <f>H37*83.12</f>
        <v>8312000</v>
      </c>
      <c r="J37" s="3" t="s">
        <v>232</v>
      </c>
      <c r="K37" s="7">
        <v>50</v>
      </c>
      <c r="L37" s="3" t="s">
        <v>232</v>
      </c>
      <c r="M37" s="3" t="s">
        <v>24</v>
      </c>
      <c r="N37" s="5" t="str">
        <f>IF(K37=0,"Onsite",IF(K37=50,"Hybrid","Remote"))</f>
        <v>Hybrid</v>
      </c>
      <c r="O37" s="5">
        <f>IF(C37="Entrylevel",1,IF(C37="Intermediate",2,IF(C37="Senior",3,4)))</f>
        <v>1</v>
      </c>
    </row>
    <row r="38" spans="1:15" ht="14.4" x14ac:dyDescent="0.3">
      <c r="A38" s="4" t="s">
        <v>233</v>
      </c>
      <c r="B38" s="4">
        <v>2021</v>
      </c>
      <c r="C38" s="5" t="s">
        <v>37</v>
      </c>
      <c r="D38" s="5" t="s">
        <v>14</v>
      </c>
      <c r="E38" s="5" t="s">
        <v>15</v>
      </c>
      <c r="F38" s="4">
        <v>42000</v>
      </c>
      <c r="G38" s="5" t="s">
        <v>16</v>
      </c>
      <c r="H38" s="4">
        <v>49646</v>
      </c>
      <c r="I38" s="2">
        <f>H38*83.12</f>
        <v>4126575.52</v>
      </c>
      <c r="J38" s="5" t="s">
        <v>50</v>
      </c>
      <c r="K38" s="8">
        <v>50</v>
      </c>
      <c r="L38" s="5" t="s">
        <v>50</v>
      </c>
      <c r="M38" s="5" t="s">
        <v>29</v>
      </c>
      <c r="N38" s="5" t="str">
        <f>IF(K38=0,"Onsite",IF(K38=50,"Hybrid","Remote"))</f>
        <v>Hybrid</v>
      </c>
      <c r="O38" s="5">
        <f>IF(C38="Entrylevel",1,IF(C38="Intermediate",2,IF(C38="Senior",3,4)))</f>
        <v>1</v>
      </c>
    </row>
    <row r="39" spans="1:15" ht="14.4" x14ac:dyDescent="0.3">
      <c r="A39" s="2" t="s">
        <v>238</v>
      </c>
      <c r="B39" s="2">
        <v>2021</v>
      </c>
      <c r="C39" s="3" t="s">
        <v>37</v>
      </c>
      <c r="D39" s="3" t="s">
        <v>14</v>
      </c>
      <c r="E39" s="3" t="s">
        <v>15</v>
      </c>
      <c r="F39" s="2">
        <v>100000</v>
      </c>
      <c r="G39" s="3" t="s">
        <v>22</v>
      </c>
      <c r="H39" s="2">
        <v>100000</v>
      </c>
      <c r="I39" s="2">
        <f>H39*83.12</f>
        <v>8312000</v>
      </c>
      <c r="J39" s="3" t="s">
        <v>35</v>
      </c>
      <c r="K39" s="7">
        <v>0</v>
      </c>
      <c r="L39" s="3" t="s">
        <v>35</v>
      </c>
      <c r="M39" s="3" t="s">
        <v>24</v>
      </c>
      <c r="N39" s="5" t="str">
        <f>IF(K39=0,"Onsite",IF(K39=50,"Hybrid","Remote"))</f>
        <v>Onsite</v>
      </c>
      <c r="O39" s="5">
        <f>IF(C39="Entrylevel",1,IF(C39="Intermediate",2,IF(C39="Senior",3,4)))</f>
        <v>1</v>
      </c>
    </row>
    <row r="40" spans="1:15" ht="14.4" x14ac:dyDescent="0.3">
      <c r="A40" s="4" t="s">
        <v>243</v>
      </c>
      <c r="B40" s="4">
        <v>2021</v>
      </c>
      <c r="C40" s="5" t="s">
        <v>37</v>
      </c>
      <c r="D40" s="5" t="s">
        <v>14</v>
      </c>
      <c r="E40" s="5" t="s">
        <v>15</v>
      </c>
      <c r="F40" s="4">
        <v>80000</v>
      </c>
      <c r="G40" s="5" t="s">
        <v>22</v>
      </c>
      <c r="H40" s="4">
        <v>80000</v>
      </c>
      <c r="I40" s="2">
        <f>H40*83.12</f>
        <v>6649600</v>
      </c>
      <c r="J40" s="5" t="s">
        <v>35</v>
      </c>
      <c r="K40" s="8">
        <v>100</v>
      </c>
      <c r="L40" s="5" t="s">
        <v>35</v>
      </c>
      <c r="M40" s="5" t="s">
        <v>29</v>
      </c>
      <c r="N40" s="5" t="str">
        <f>IF(K40=0,"Onsite",IF(K40=50,"Hybrid","Remote"))</f>
        <v>Remote</v>
      </c>
      <c r="O40" s="5">
        <f>IF(C40="Entrylevel",1,IF(C40="Intermediate",2,IF(C40="Senior",3,4)))</f>
        <v>1</v>
      </c>
    </row>
    <row r="41" spans="1:15" ht="14.4" x14ac:dyDescent="0.3">
      <c r="A41" s="4" t="s">
        <v>258</v>
      </c>
      <c r="B41" s="4">
        <v>2021</v>
      </c>
      <c r="C41" s="5" t="s">
        <v>37</v>
      </c>
      <c r="D41" s="5" t="s">
        <v>14</v>
      </c>
      <c r="E41" s="5" t="s">
        <v>15</v>
      </c>
      <c r="F41" s="4">
        <v>13400</v>
      </c>
      <c r="G41" s="5" t="s">
        <v>22</v>
      </c>
      <c r="H41" s="4">
        <v>13400</v>
      </c>
      <c r="I41" s="2">
        <f>H41*83.12</f>
        <v>1113808</v>
      </c>
      <c r="J41" s="5" t="s">
        <v>259</v>
      </c>
      <c r="K41" s="8">
        <v>100</v>
      </c>
      <c r="L41" s="5" t="s">
        <v>259</v>
      </c>
      <c r="M41" s="5" t="s">
        <v>18</v>
      </c>
      <c r="N41" s="5" t="str">
        <f>IF(K41=0,"Onsite",IF(K41=50,"Hybrid","Remote"))</f>
        <v>Remote</v>
      </c>
      <c r="O41" s="5">
        <f>IF(C41="Entrylevel",1,IF(C41="Intermediate",2,IF(C41="Senior",3,4)))</f>
        <v>1</v>
      </c>
    </row>
    <row r="42" spans="1:15" ht="14.4" x14ac:dyDescent="0.3">
      <c r="A42" s="4" t="s">
        <v>267</v>
      </c>
      <c r="B42" s="4">
        <v>2021</v>
      </c>
      <c r="C42" s="5" t="s">
        <v>37</v>
      </c>
      <c r="D42" s="5" t="s">
        <v>14</v>
      </c>
      <c r="E42" s="5" t="s">
        <v>34</v>
      </c>
      <c r="F42" s="4">
        <v>125000</v>
      </c>
      <c r="G42" s="5" t="s">
        <v>22</v>
      </c>
      <c r="H42" s="4">
        <v>125000</v>
      </c>
      <c r="I42" s="2">
        <f>H42*83.12</f>
        <v>10390000</v>
      </c>
      <c r="J42" s="5" t="s">
        <v>35</v>
      </c>
      <c r="K42" s="8">
        <v>100</v>
      </c>
      <c r="L42" s="5" t="s">
        <v>35</v>
      </c>
      <c r="M42" s="5" t="s">
        <v>24</v>
      </c>
      <c r="N42" s="5" t="str">
        <f>IF(K42=0,"Onsite",IF(K42=50,"Hybrid","Remote"))</f>
        <v>Remote</v>
      </c>
      <c r="O42" s="5">
        <f>IF(C42="Entrylevel",1,IF(C42="Intermediate",2,IF(C42="Senior",3,4)))</f>
        <v>1</v>
      </c>
    </row>
    <row r="43" spans="1:15" ht="14.4" x14ac:dyDescent="0.3">
      <c r="A43" s="4" t="s">
        <v>273</v>
      </c>
      <c r="B43" s="4">
        <v>2021</v>
      </c>
      <c r="C43" s="5" t="s">
        <v>37</v>
      </c>
      <c r="D43" s="5" t="s">
        <v>14</v>
      </c>
      <c r="E43" s="5" t="s">
        <v>66</v>
      </c>
      <c r="F43" s="4">
        <v>54000</v>
      </c>
      <c r="G43" s="5" t="s">
        <v>16</v>
      </c>
      <c r="H43" s="4">
        <v>63831</v>
      </c>
      <c r="I43" s="2">
        <f>H43*83.12</f>
        <v>5305632.7200000007</v>
      </c>
      <c r="J43" s="5" t="s">
        <v>17</v>
      </c>
      <c r="K43" s="8">
        <v>50</v>
      </c>
      <c r="L43" s="5" t="s">
        <v>17</v>
      </c>
      <c r="M43" s="5" t="s">
        <v>18</v>
      </c>
      <c r="N43" s="5" t="str">
        <f>IF(K43=0,"Onsite",IF(K43=50,"Hybrid","Remote"))</f>
        <v>Hybrid</v>
      </c>
      <c r="O43" s="5">
        <f>IF(C43="Entrylevel",1,IF(C43="Intermediate",2,IF(C43="Senior",3,4)))</f>
        <v>1</v>
      </c>
    </row>
    <row r="44" spans="1:15" ht="14.4" x14ac:dyDescent="0.3">
      <c r="A44" s="2" t="s">
        <v>277</v>
      </c>
      <c r="B44" s="2">
        <v>2021</v>
      </c>
      <c r="C44" s="3" t="s">
        <v>37</v>
      </c>
      <c r="D44" s="3" t="s">
        <v>14</v>
      </c>
      <c r="E44" s="3" t="s">
        <v>61</v>
      </c>
      <c r="F44" s="2">
        <v>80000</v>
      </c>
      <c r="G44" s="3" t="s">
        <v>22</v>
      </c>
      <c r="H44" s="2">
        <v>80000</v>
      </c>
      <c r="I44" s="2">
        <f>H44*83.12</f>
        <v>6649600</v>
      </c>
      <c r="J44" s="3" t="s">
        <v>35</v>
      </c>
      <c r="K44" s="7">
        <v>100</v>
      </c>
      <c r="L44" s="3" t="s">
        <v>35</v>
      </c>
      <c r="M44" s="3" t="s">
        <v>18</v>
      </c>
      <c r="N44" s="5" t="str">
        <f>IF(K44=0,"Onsite",IF(K44=50,"Hybrid","Remote"))</f>
        <v>Remote</v>
      </c>
      <c r="O44" s="5">
        <f>IF(C44="Entrylevel",1,IF(C44="Intermediate",2,IF(C44="Senior",3,4)))</f>
        <v>1</v>
      </c>
    </row>
    <row r="45" spans="1:15" ht="14.4" x14ac:dyDescent="0.3">
      <c r="A45" s="2" t="s">
        <v>279</v>
      </c>
      <c r="B45" s="2">
        <v>2021</v>
      </c>
      <c r="C45" s="3" t="s">
        <v>37</v>
      </c>
      <c r="D45" s="3" t="s">
        <v>14</v>
      </c>
      <c r="E45" s="3" t="s">
        <v>76</v>
      </c>
      <c r="F45" s="2">
        <v>55000</v>
      </c>
      <c r="G45" s="3" t="s">
        <v>22</v>
      </c>
      <c r="H45" s="2">
        <v>55000</v>
      </c>
      <c r="I45" s="2">
        <f>H45*83.12</f>
        <v>4571600</v>
      </c>
      <c r="J45" s="3" t="s">
        <v>35</v>
      </c>
      <c r="K45" s="7">
        <v>50</v>
      </c>
      <c r="L45" s="3" t="s">
        <v>35</v>
      </c>
      <c r="M45" s="3" t="s">
        <v>24</v>
      </c>
      <c r="N45" s="5" t="str">
        <f>IF(K45=0,"Onsite",IF(K45=50,"Hybrid","Remote"))</f>
        <v>Hybrid</v>
      </c>
      <c r="O45" s="5">
        <f>IF(C45="Entrylevel",1,IF(C45="Intermediate",2,IF(C45="Senior",3,4)))</f>
        <v>1</v>
      </c>
    </row>
    <row r="46" spans="1:15" ht="14.4" x14ac:dyDescent="0.3">
      <c r="A46" s="2" t="s">
        <v>284</v>
      </c>
      <c r="B46" s="2">
        <v>2021</v>
      </c>
      <c r="C46" s="3" t="s">
        <v>37</v>
      </c>
      <c r="D46" s="3" t="s">
        <v>14</v>
      </c>
      <c r="E46" s="3" t="s">
        <v>38</v>
      </c>
      <c r="F46" s="2">
        <v>60000</v>
      </c>
      <c r="G46" s="3" t="s">
        <v>22</v>
      </c>
      <c r="H46" s="2">
        <v>60000</v>
      </c>
      <c r="I46" s="2">
        <f>H46*83.12</f>
        <v>4987200</v>
      </c>
      <c r="J46" s="3" t="s">
        <v>35</v>
      </c>
      <c r="K46" s="7">
        <v>100</v>
      </c>
      <c r="L46" s="3" t="s">
        <v>35</v>
      </c>
      <c r="M46" s="3" t="s">
        <v>24</v>
      </c>
      <c r="N46" s="5" t="str">
        <f>IF(K46=0,"Onsite",IF(K46=50,"Hybrid","Remote"))</f>
        <v>Remote</v>
      </c>
      <c r="O46" s="5">
        <f>IF(C46="Entrylevel",1,IF(C46="Intermediate",2,IF(C46="Senior",3,4)))</f>
        <v>1</v>
      </c>
    </row>
    <row r="47" spans="1:15" ht="14.4" x14ac:dyDescent="0.3">
      <c r="A47" s="2" t="s">
        <v>292</v>
      </c>
      <c r="B47" s="2">
        <v>2021</v>
      </c>
      <c r="C47" s="3" t="s">
        <v>37</v>
      </c>
      <c r="D47" s="3" t="s">
        <v>14</v>
      </c>
      <c r="E47" s="3" t="s">
        <v>34</v>
      </c>
      <c r="F47" s="2">
        <v>81000</v>
      </c>
      <c r="G47" s="3" t="s">
        <v>22</v>
      </c>
      <c r="H47" s="2">
        <v>81000</v>
      </c>
      <c r="I47" s="2">
        <f>H47*83.12</f>
        <v>6732720</v>
      </c>
      <c r="J47" s="3" t="s">
        <v>35</v>
      </c>
      <c r="K47" s="7">
        <v>50</v>
      </c>
      <c r="L47" s="3" t="s">
        <v>35</v>
      </c>
      <c r="M47" s="3" t="s">
        <v>24</v>
      </c>
      <c r="N47" s="5" t="str">
        <f>IF(K47=0,"Onsite",IF(K47=50,"Hybrid","Remote"))</f>
        <v>Hybrid</v>
      </c>
      <c r="O47" s="5">
        <f>IF(C47="Entrylevel",1,IF(C47="Intermediate",2,IF(C47="Senior",3,4)))</f>
        <v>1</v>
      </c>
    </row>
    <row r="48" spans="1:15" ht="14.4" x14ac:dyDescent="0.3">
      <c r="A48" s="4" t="s">
        <v>307</v>
      </c>
      <c r="B48" s="4">
        <v>2021</v>
      </c>
      <c r="C48" s="5" t="s">
        <v>37</v>
      </c>
      <c r="D48" s="5" t="s">
        <v>14</v>
      </c>
      <c r="E48" s="5" t="s">
        <v>34</v>
      </c>
      <c r="F48" s="4">
        <v>21844</v>
      </c>
      <c r="G48" s="5" t="s">
        <v>22</v>
      </c>
      <c r="H48" s="4">
        <v>21844</v>
      </c>
      <c r="I48" s="2">
        <f>H48*83.12</f>
        <v>1815673.28</v>
      </c>
      <c r="J48" s="5" t="s">
        <v>308</v>
      </c>
      <c r="K48" s="8">
        <v>50</v>
      </c>
      <c r="L48" s="5" t="s">
        <v>308</v>
      </c>
      <c r="M48" s="5" t="s">
        <v>29</v>
      </c>
      <c r="N48" s="5" t="str">
        <f>IF(K48=0,"Onsite",IF(K48=50,"Hybrid","Remote"))</f>
        <v>Hybrid</v>
      </c>
      <c r="O48" s="5">
        <f>IF(C48="Entrylevel",1,IF(C48="Intermediate",2,IF(C48="Senior",3,4)))</f>
        <v>1</v>
      </c>
    </row>
    <row r="49" spans="1:15" ht="14.4" x14ac:dyDescent="0.3">
      <c r="A49" s="2" t="s">
        <v>314</v>
      </c>
      <c r="B49" s="2">
        <v>2021</v>
      </c>
      <c r="C49" s="3" t="s">
        <v>37</v>
      </c>
      <c r="D49" s="3" t="s">
        <v>14</v>
      </c>
      <c r="E49" s="3" t="s">
        <v>76</v>
      </c>
      <c r="F49" s="2">
        <v>9272</v>
      </c>
      <c r="G49" s="3" t="s">
        <v>22</v>
      </c>
      <c r="H49" s="2">
        <v>9272</v>
      </c>
      <c r="I49" s="2">
        <f>H49*83.12</f>
        <v>770688.64</v>
      </c>
      <c r="J49" s="3" t="s">
        <v>315</v>
      </c>
      <c r="K49" s="7">
        <v>100</v>
      </c>
      <c r="L49" s="3" t="s">
        <v>315</v>
      </c>
      <c r="M49" s="3" t="s">
        <v>24</v>
      </c>
      <c r="N49" s="5" t="str">
        <f>IF(K49=0,"Onsite",IF(K49=50,"Hybrid","Remote"))</f>
        <v>Remote</v>
      </c>
      <c r="O49" s="5">
        <f>IF(C49="Entrylevel",1,IF(C49="Intermediate",2,IF(C49="Senior",3,4)))</f>
        <v>1</v>
      </c>
    </row>
    <row r="50" spans="1:15" ht="14.4" x14ac:dyDescent="0.3">
      <c r="A50" s="4" t="s">
        <v>318</v>
      </c>
      <c r="B50" s="4">
        <v>2021</v>
      </c>
      <c r="C50" s="5" t="s">
        <v>37</v>
      </c>
      <c r="D50" s="5" t="s">
        <v>14</v>
      </c>
      <c r="E50" s="5" t="s">
        <v>66</v>
      </c>
      <c r="F50" s="4">
        <v>90000</v>
      </c>
      <c r="G50" s="5" t="s">
        <v>22</v>
      </c>
      <c r="H50" s="4">
        <v>90000</v>
      </c>
      <c r="I50" s="2">
        <f>H50*83.12</f>
        <v>7480800</v>
      </c>
      <c r="J50" s="5" t="s">
        <v>35</v>
      </c>
      <c r="K50" s="8">
        <v>100</v>
      </c>
      <c r="L50" s="5" t="s">
        <v>35</v>
      </c>
      <c r="M50" s="5" t="s">
        <v>24</v>
      </c>
      <c r="N50" s="5" t="str">
        <f>IF(K50=0,"Onsite",IF(K50=50,"Hybrid","Remote"))</f>
        <v>Remote</v>
      </c>
      <c r="O50" s="5">
        <f>IF(C50="Entrylevel",1,IF(C50="Intermediate",2,IF(C50="Senior",3,4)))</f>
        <v>1</v>
      </c>
    </row>
    <row r="51" spans="1:15" ht="14.4" x14ac:dyDescent="0.3">
      <c r="A51" s="4" t="s">
        <v>335</v>
      </c>
      <c r="B51" s="4">
        <v>2021</v>
      </c>
      <c r="C51" s="5" t="s">
        <v>37</v>
      </c>
      <c r="D51" s="5" t="s">
        <v>14</v>
      </c>
      <c r="E51" s="5" t="s">
        <v>26</v>
      </c>
      <c r="F51" s="4">
        <v>435000</v>
      </c>
      <c r="G51" s="5" t="s">
        <v>52</v>
      </c>
      <c r="H51" s="4">
        <v>5882</v>
      </c>
      <c r="I51" s="2">
        <f>H51*83.12</f>
        <v>488911.84</v>
      </c>
      <c r="J51" s="5" t="s">
        <v>53</v>
      </c>
      <c r="K51" s="8">
        <v>0</v>
      </c>
      <c r="L51" s="5" t="s">
        <v>336</v>
      </c>
      <c r="M51" s="5" t="s">
        <v>18</v>
      </c>
      <c r="N51" s="5" t="str">
        <f>IF(K51=0,"Onsite",IF(K51=50,"Hybrid","Remote"))</f>
        <v>Onsite</v>
      </c>
      <c r="O51" s="5">
        <f>IF(C51="Entrylevel",1,IF(C51="Intermediate",2,IF(C51="Senior",3,4)))</f>
        <v>1</v>
      </c>
    </row>
    <row r="52" spans="1:15" ht="14.4" x14ac:dyDescent="0.3">
      <c r="A52" s="2" t="s">
        <v>337</v>
      </c>
      <c r="B52" s="2">
        <v>2021</v>
      </c>
      <c r="C52" s="3" t="s">
        <v>37</v>
      </c>
      <c r="D52" s="3" t="s">
        <v>14</v>
      </c>
      <c r="E52" s="3" t="s">
        <v>34</v>
      </c>
      <c r="F52" s="2">
        <v>21000</v>
      </c>
      <c r="G52" s="3" t="s">
        <v>16</v>
      </c>
      <c r="H52" s="2">
        <v>24823</v>
      </c>
      <c r="I52" s="2">
        <f>H52*83.12</f>
        <v>2063287.76</v>
      </c>
      <c r="J52" s="3" t="s">
        <v>17</v>
      </c>
      <c r="K52" s="7">
        <v>50</v>
      </c>
      <c r="L52" s="3" t="s">
        <v>17</v>
      </c>
      <c r="M52" s="3" t="s">
        <v>29</v>
      </c>
      <c r="N52" s="5" t="str">
        <f>IF(K52=0,"Onsite",IF(K52=50,"Hybrid","Remote"))</f>
        <v>Hybrid</v>
      </c>
      <c r="O52" s="5">
        <f>IF(C52="Entrylevel",1,IF(C52="Intermediate",2,IF(C52="Senior",3,4)))</f>
        <v>1</v>
      </c>
    </row>
    <row r="53" spans="1:15" ht="14.4" x14ac:dyDescent="0.3">
      <c r="A53" s="2" t="s">
        <v>339</v>
      </c>
      <c r="B53" s="2">
        <v>2021</v>
      </c>
      <c r="C53" s="3" t="s">
        <v>37</v>
      </c>
      <c r="D53" s="3" t="s">
        <v>116</v>
      </c>
      <c r="E53" s="3" t="s">
        <v>131</v>
      </c>
      <c r="F53" s="2">
        <v>180000</v>
      </c>
      <c r="G53" s="3" t="s">
        <v>126</v>
      </c>
      <c r="H53" s="2">
        <v>28609</v>
      </c>
      <c r="I53" s="2">
        <f>H53*83.12</f>
        <v>2377980.08</v>
      </c>
      <c r="J53" s="3" t="s">
        <v>127</v>
      </c>
      <c r="K53" s="7">
        <v>50</v>
      </c>
      <c r="L53" s="3" t="s">
        <v>127</v>
      </c>
      <c r="M53" s="3" t="s">
        <v>24</v>
      </c>
      <c r="N53" s="5" t="str">
        <f>IF(K53=0,"Onsite",IF(K53=50,"Hybrid","Remote"))</f>
        <v>Hybrid</v>
      </c>
      <c r="O53" s="5">
        <f>IF(C53="Entrylevel",1,IF(C53="Intermediate",2,IF(C53="Senior",3,4)))</f>
        <v>1</v>
      </c>
    </row>
    <row r="54" spans="1:15" ht="14.4" x14ac:dyDescent="0.3">
      <c r="A54" s="2" t="s">
        <v>353</v>
      </c>
      <c r="B54" s="2">
        <v>2021</v>
      </c>
      <c r="C54" s="3" t="s">
        <v>37</v>
      </c>
      <c r="D54" s="3" t="s">
        <v>14</v>
      </c>
      <c r="E54" s="3" t="s">
        <v>26</v>
      </c>
      <c r="F54" s="2">
        <v>1200000</v>
      </c>
      <c r="G54" s="3" t="s">
        <v>52</v>
      </c>
      <c r="H54" s="2">
        <v>16228</v>
      </c>
      <c r="I54" s="2">
        <f>H54*83.12</f>
        <v>1348871.36</v>
      </c>
      <c r="J54" s="3" t="s">
        <v>53</v>
      </c>
      <c r="K54" s="7">
        <v>100</v>
      </c>
      <c r="L54" s="3" t="s">
        <v>53</v>
      </c>
      <c r="M54" s="3" t="s">
        <v>18</v>
      </c>
      <c r="N54" s="5" t="str">
        <f>IF(K54=0,"Onsite",IF(K54=50,"Hybrid","Remote"))</f>
        <v>Remote</v>
      </c>
      <c r="O54" s="5">
        <f>IF(C54="Entrylevel",1,IF(C54="Intermediate",2,IF(C54="Senior",3,4)))</f>
        <v>1</v>
      </c>
    </row>
    <row r="55" spans="1:15" ht="14.4" x14ac:dyDescent="0.3">
      <c r="A55" s="2" t="s">
        <v>361</v>
      </c>
      <c r="B55" s="2">
        <v>2021</v>
      </c>
      <c r="C55" s="3" t="s">
        <v>37</v>
      </c>
      <c r="D55" s="3" t="s">
        <v>14</v>
      </c>
      <c r="E55" s="3" t="s">
        <v>15</v>
      </c>
      <c r="F55" s="2">
        <v>4000</v>
      </c>
      <c r="G55" s="3" t="s">
        <v>22</v>
      </c>
      <c r="H55" s="2">
        <v>4000</v>
      </c>
      <c r="I55" s="2">
        <f>H55*83.12</f>
        <v>332480</v>
      </c>
      <c r="J55" s="3" t="s">
        <v>236</v>
      </c>
      <c r="K55" s="7">
        <v>0</v>
      </c>
      <c r="L55" s="3" t="s">
        <v>236</v>
      </c>
      <c r="M55" s="3" t="s">
        <v>29</v>
      </c>
      <c r="N55" s="5" t="str">
        <f>IF(K55=0,"Onsite",IF(K55=50,"Hybrid","Remote"))</f>
        <v>Onsite</v>
      </c>
      <c r="O55" s="5">
        <f>IF(C55="Entrylevel",1,IF(C55="Intermediate",2,IF(C55="Senior",3,4)))</f>
        <v>1</v>
      </c>
    </row>
    <row r="56" spans="1:15" ht="14.4" x14ac:dyDescent="0.3">
      <c r="A56" s="4" t="s">
        <v>362</v>
      </c>
      <c r="B56" s="4">
        <v>2021</v>
      </c>
      <c r="C56" s="5" t="s">
        <v>37</v>
      </c>
      <c r="D56" s="5" t="s">
        <v>14</v>
      </c>
      <c r="E56" s="5" t="s">
        <v>61</v>
      </c>
      <c r="F56" s="4">
        <v>1600000</v>
      </c>
      <c r="G56" s="5" t="s">
        <v>52</v>
      </c>
      <c r="H56" s="4">
        <v>21637</v>
      </c>
      <c r="I56" s="2">
        <f>H56*83.12</f>
        <v>1798467.4400000002</v>
      </c>
      <c r="J56" s="5" t="s">
        <v>53</v>
      </c>
      <c r="K56" s="8">
        <v>50</v>
      </c>
      <c r="L56" s="5" t="s">
        <v>53</v>
      </c>
      <c r="M56" s="5" t="s">
        <v>29</v>
      </c>
      <c r="N56" s="5" t="str">
        <f>IF(K56=0,"Onsite",IF(K56=50,"Hybrid","Remote"))</f>
        <v>Hybrid</v>
      </c>
      <c r="O56" s="5">
        <f>IF(C56="Entrylevel",1,IF(C56="Intermediate",2,IF(C56="Senior",3,4)))</f>
        <v>1</v>
      </c>
    </row>
    <row r="57" spans="1:15" ht="14.4" x14ac:dyDescent="0.3">
      <c r="A57" s="2" t="s">
        <v>367</v>
      </c>
      <c r="B57" s="2">
        <v>2021</v>
      </c>
      <c r="C57" s="3" t="s">
        <v>37</v>
      </c>
      <c r="D57" s="3" t="s">
        <v>14</v>
      </c>
      <c r="E57" s="3" t="s">
        <v>125</v>
      </c>
      <c r="F57" s="2">
        <v>1335000</v>
      </c>
      <c r="G57" s="3" t="s">
        <v>52</v>
      </c>
      <c r="H57" s="2">
        <v>18053</v>
      </c>
      <c r="I57" s="2">
        <f>H57*83.12</f>
        <v>1500565.36</v>
      </c>
      <c r="J57" s="3" t="s">
        <v>53</v>
      </c>
      <c r="K57" s="7">
        <v>100</v>
      </c>
      <c r="L57" s="3" t="s">
        <v>368</v>
      </c>
      <c r="M57" s="3" t="s">
        <v>24</v>
      </c>
      <c r="N57" s="5" t="str">
        <f>IF(K57=0,"Onsite",IF(K57=50,"Hybrid","Remote"))</f>
        <v>Remote</v>
      </c>
      <c r="O57" s="5">
        <f>IF(C57="Entrylevel",1,IF(C57="Intermediate",2,IF(C57="Senior",3,4)))</f>
        <v>1</v>
      </c>
    </row>
    <row r="58" spans="1:15" ht="14.4" x14ac:dyDescent="0.3">
      <c r="A58" s="2" t="s">
        <v>370</v>
      </c>
      <c r="B58" s="2">
        <v>2021</v>
      </c>
      <c r="C58" s="3" t="s">
        <v>37</v>
      </c>
      <c r="D58" s="3" t="s">
        <v>14</v>
      </c>
      <c r="E58" s="3" t="s">
        <v>15</v>
      </c>
      <c r="F58" s="2">
        <v>31000</v>
      </c>
      <c r="G58" s="3" t="s">
        <v>16</v>
      </c>
      <c r="H58" s="2">
        <v>36643</v>
      </c>
      <c r="I58" s="2">
        <f>H58*83.12</f>
        <v>3045766.16</v>
      </c>
      <c r="J58" s="3" t="s">
        <v>50</v>
      </c>
      <c r="K58" s="7">
        <v>50</v>
      </c>
      <c r="L58" s="3" t="s">
        <v>50</v>
      </c>
      <c r="M58" s="3" t="s">
        <v>18</v>
      </c>
      <c r="N58" s="5" t="str">
        <f>IF(K58=0,"Onsite",IF(K58=50,"Hybrid","Remote"))</f>
        <v>Hybrid</v>
      </c>
      <c r="O58" s="5">
        <f>IF(C58="Entrylevel",1,IF(C58="Intermediate",2,IF(C58="Senior",3,4)))</f>
        <v>1</v>
      </c>
    </row>
    <row r="59" spans="1:15" ht="14.4" x14ac:dyDescent="0.3">
      <c r="A59" s="4" t="s">
        <v>378</v>
      </c>
      <c r="B59" s="4">
        <v>2021</v>
      </c>
      <c r="C59" s="5" t="s">
        <v>37</v>
      </c>
      <c r="D59" s="5" t="s">
        <v>14</v>
      </c>
      <c r="E59" s="5" t="s">
        <v>15</v>
      </c>
      <c r="F59" s="4">
        <v>90000</v>
      </c>
      <c r="G59" s="5" t="s">
        <v>22</v>
      </c>
      <c r="H59" s="4">
        <v>90000</v>
      </c>
      <c r="I59" s="2">
        <f>H59*83.12</f>
        <v>7480800</v>
      </c>
      <c r="J59" s="5" t="s">
        <v>35</v>
      </c>
      <c r="K59" s="8">
        <v>100</v>
      </c>
      <c r="L59" s="5" t="s">
        <v>35</v>
      </c>
      <c r="M59" s="5" t="s">
        <v>24</v>
      </c>
      <c r="N59" s="5" t="str">
        <f>IF(K59=0,"Onsite",IF(K59=50,"Hybrid","Remote"))</f>
        <v>Remote</v>
      </c>
      <c r="O59" s="5">
        <f>IF(C59="Entrylevel",1,IF(C59="Intermediate",2,IF(C59="Senior",3,4)))</f>
        <v>1</v>
      </c>
    </row>
    <row r="60" spans="1:15" ht="14.4" x14ac:dyDescent="0.3">
      <c r="A60" s="4" t="s">
        <v>380</v>
      </c>
      <c r="B60" s="4">
        <v>2021</v>
      </c>
      <c r="C60" s="5" t="s">
        <v>37</v>
      </c>
      <c r="D60" s="5" t="s">
        <v>14</v>
      </c>
      <c r="E60" s="5" t="s">
        <v>15</v>
      </c>
      <c r="F60" s="4">
        <v>2100000</v>
      </c>
      <c r="G60" s="5" t="s">
        <v>52</v>
      </c>
      <c r="H60" s="4">
        <v>28399</v>
      </c>
      <c r="I60" s="2">
        <f>H60*83.12</f>
        <v>2360524.8800000004</v>
      </c>
      <c r="J60" s="5" t="s">
        <v>53</v>
      </c>
      <c r="K60" s="8">
        <v>100</v>
      </c>
      <c r="L60" s="5" t="s">
        <v>53</v>
      </c>
      <c r="M60" s="5" t="s">
        <v>29</v>
      </c>
      <c r="N60" s="5" t="str">
        <f>IF(K60=0,"Onsite",IF(K60=50,"Hybrid","Remote"))</f>
        <v>Remote</v>
      </c>
      <c r="O60" s="5">
        <f>IF(C60="Entrylevel",1,IF(C60="Intermediate",2,IF(C60="Senior",3,4)))</f>
        <v>1</v>
      </c>
    </row>
    <row r="61" spans="1:15" ht="14.4" x14ac:dyDescent="0.3">
      <c r="A61" s="4" t="s">
        <v>399</v>
      </c>
      <c r="B61" s="4">
        <v>2021</v>
      </c>
      <c r="C61" s="5" t="s">
        <v>37</v>
      </c>
      <c r="D61" s="5" t="s">
        <v>14</v>
      </c>
      <c r="E61" s="5" t="s">
        <v>61</v>
      </c>
      <c r="F61" s="4">
        <v>55000</v>
      </c>
      <c r="G61" s="5" t="s">
        <v>16</v>
      </c>
      <c r="H61" s="4">
        <v>65013</v>
      </c>
      <c r="I61" s="2">
        <f>H61*83.12</f>
        <v>5403880.5600000005</v>
      </c>
      <c r="J61" s="5" t="s">
        <v>17</v>
      </c>
      <c r="K61" s="8">
        <v>50</v>
      </c>
      <c r="L61" s="5" t="s">
        <v>17</v>
      </c>
      <c r="M61" s="5" t="s">
        <v>29</v>
      </c>
      <c r="N61" s="5" t="str">
        <f>IF(K61=0,"Onsite",IF(K61=50,"Hybrid","Remote"))</f>
        <v>Hybrid</v>
      </c>
      <c r="O61" s="5">
        <f>IF(C61="Entrylevel",1,IF(C61="Intermediate",2,IF(C61="Senior",3,4)))</f>
        <v>1</v>
      </c>
    </row>
    <row r="62" spans="1:15" ht="14.4" x14ac:dyDescent="0.3">
      <c r="A62" s="2" t="s">
        <v>400</v>
      </c>
      <c r="B62" s="2">
        <v>2021</v>
      </c>
      <c r="C62" s="3" t="s">
        <v>37</v>
      </c>
      <c r="D62" s="3" t="s">
        <v>14</v>
      </c>
      <c r="E62" s="3" t="s">
        <v>61</v>
      </c>
      <c r="F62" s="2">
        <v>72500</v>
      </c>
      <c r="G62" s="3" t="s">
        <v>22</v>
      </c>
      <c r="H62" s="2">
        <v>72500</v>
      </c>
      <c r="I62" s="2">
        <f>H62*83.12</f>
        <v>6026200</v>
      </c>
      <c r="J62" s="3" t="s">
        <v>35</v>
      </c>
      <c r="K62" s="7">
        <v>100</v>
      </c>
      <c r="L62" s="3" t="s">
        <v>35</v>
      </c>
      <c r="M62" s="3" t="s">
        <v>18</v>
      </c>
      <c r="N62" s="5" t="str">
        <f>IF(K62=0,"Onsite",IF(K62=50,"Hybrid","Remote"))</f>
        <v>Remote</v>
      </c>
      <c r="O62" s="5">
        <f>IF(C62="Entrylevel",1,IF(C62="Intermediate",2,IF(C62="Senior",3,4)))</f>
        <v>1</v>
      </c>
    </row>
    <row r="63" spans="1:15" ht="14.4" x14ac:dyDescent="0.3">
      <c r="A63" s="2" t="s">
        <v>402</v>
      </c>
      <c r="B63" s="2">
        <v>2021</v>
      </c>
      <c r="C63" s="3" t="s">
        <v>37</v>
      </c>
      <c r="D63" s="3" t="s">
        <v>14</v>
      </c>
      <c r="E63" s="3" t="s">
        <v>66</v>
      </c>
      <c r="F63" s="2">
        <v>65000</v>
      </c>
      <c r="G63" s="3" t="s">
        <v>16</v>
      </c>
      <c r="H63" s="2">
        <v>76833</v>
      </c>
      <c r="I63" s="2">
        <f>H63*83.12</f>
        <v>6386358.96</v>
      </c>
      <c r="J63" s="3" t="s">
        <v>17</v>
      </c>
      <c r="K63" s="7">
        <v>0</v>
      </c>
      <c r="L63" s="3" t="s">
        <v>17</v>
      </c>
      <c r="M63" s="3" t="s">
        <v>18</v>
      </c>
      <c r="N63" s="5" t="str">
        <f>IF(K63=0,"Onsite",IF(K63=50,"Hybrid","Remote"))</f>
        <v>Onsite</v>
      </c>
      <c r="O63" s="5">
        <f>IF(C63="Entrylevel",1,IF(C63="Intermediate",2,IF(C63="Senior",3,4)))</f>
        <v>1</v>
      </c>
    </row>
    <row r="64" spans="1:15" ht="14.4" x14ac:dyDescent="0.3">
      <c r="A64" s="4" t="s">
        <v>403</v>
      </c>
      <c r="B64" s="4">
        <v>2021</v>
      </c>
      <c r="C64" s="5" t="s">
        <v>37</v>
      </c>
      <c r="D64" s="5" t="s">
        <v>14</v>
      </c>
      <c r="E64" s="5" t="s">
        <v>34</v>
      </c>
      <c r="F64" s="4">
        <v>85000</v>
      </c>
      <c r="G64" s="5" t="s">
        <v>22</v>
      </c>
      <c r="H64" s="4">
        <v>85000</v>
      </c>
      <c r="I64" s="2">
        <f>H64*83.12</f>
        <v>7065200</v>
      </c>
      <c r="J64" s="5" t="s">
        <v>84</v>
      </c>
      <c r="K64" s="8">
        <v>100</v>
      </c>
      <c r="L64" s="5" t="s">
        <v>17</v>
      </c>
      <c r="M64" s="5" t="s">
        <v>24</v>
      </c>
      <c r="N64" s="5" t="str">
        <f>IF(K64=0,"Onsite",IF(K64=50,"Hybrid","Remote"))</f>
        <v>Remote</v>
      </c>
      <c r="O64" s="5">
        <f>IF(C64="Entrylevel",1,IF(C64="Intermediate",2,IF(C64="Senior",3,4)))</f>
        <v>1</v>
      </c>
    </row>
    <row r="65" spans="1:15" ht="14.4" x14ac:dyDescent="0.3">
      <c r="A65" s="4" t="s">
        <v>405</v>
      </c>
      <c r="B65" s="4">
        <v>2021</v>
      </c>
      <c r="C65" s="5" t="s">
        <v>37</v>
      </c>
      <c r="D65" s="5" t="s">
        <v>14</v>
      </c>
      <c r="E65" s="5" t="s">
        <v>15</v>
      </c>
      <c r="F65" s="4">
        <v>100000</v>
      </c>
      <c r="G65" s="5" t="s">
        <v>22</v>
      </c>
      <c r="H65" s="4">
        <v>100000</v>
      </c>
      <c r="I65" s="2">
        <f>H65*83.12</f>
        <v>8312000</v>
      </c>
      <c r="J65" s="5" t="s">
        <v>35</v>
      </c>
      <c r="K65" s="8">
        <v>100</v>
      </c>
      <c r="L65" s="5" t="s">
        <v>35</v>
      </c>
      <c r="M65" s="5" t="s">
        <v>29</v>
      </c>
      <c r="N65" s="5" t="str">
        <f>IF(K65=0,"Onsite",IF(K65=50,"Hybrid","Remote"))</f>
        <v>Remote</v>
      </c>
      <c r="O65" s="5">
        <f>IF(C65="Entrylevel",1,IF(C65="Intermediate",2,IF(C65="Senior",3,4)))</f>
        <v>1</v>
      </c>
    </row>
    <row r="66" spans="1:15" ht="14.4" x14ac:dyDescent="0.3">
      <c r="A66" s="2" t="s">
        <v>406</v>
      </c>
      <c r="B66" s="2">
        <v>2021</v>
      </c>
      <c r="C66" s="3" t="s">
        <v>37</v>
      </c>
      <c r="D66" s="3" t="s">
        <v>14</v>
      </c>
      <c r="E66" s="3" t="s">
        <v>15</v>
      </c>
      <c r="F66" s="2">
        <v>58000</v>
      </c>
      <c r="G66" s="3" t="s">
        <v>22</v>
      </c>
      <c r="H66" s="2">
        <v>58000</v>
      </c>
      <c r="I66" s="2">
        <f>H66*83.12</f>
        <v>4820960</v>
      </c>
      <c r="J66" s="3" t="s">
        <v>35</v>
      </c>
      <c r="K66" s="7">
        <v>50</v>
      </c>
      <c r="L66" s="3" t="s">
        <v>35</v>
      </c>
      <c r="M66" s="3" t="s">
        <v>18</v>
      </c>
      <c r="N66" s="5" t="str">
        <f>IF(K66=0,"Onsite",IF(K66=50,"Hybrid","Remote"))</f>
        <v>Hybrid</v>
      </c>
      <c r="O66" s="5">
        <f>IF(C66="Entrylevel",1,IF(C66="Intermediate",2,IF(C66="Senior",3,4)))</f>
        <v>1</v>
      </c>
    </row>
    <row r="67" spans="1:15" ht="14.4" x14ac:dyDescent="0.3">
      <c r="A67" s="4" t="s">
        <v>409</v>
      </c>
      <c r="B67" s="4">
        <v>2021</v>
      </c>
      <c r="C67" s="5" t="s">
        <v>37</v>
      </c>
      <c r="D67" s="5" t="s">
        <v>14</v>
      </c>
      <c r="E67" s="5" t="s">
        <v>45</v>
      </c>
      <c r="F67" s="4">
        <v>50000</v>
      </c>
      <c r="G67" s="5" t="s">
        <v>16</v>
      </c>
      <c r="H67" s="4">
        <v>59102</v>
      </c>
      <c r="I67" s="2">
        <f>H67*83.12</f>
        <v>4912558.24</v>
      </c>
      <c r="J67" s="5" t="s">
        <v>153</v>
      </c>
      <c r="K67" s="8">
        <v>100</v>
      </c>
      <c r="L67" s="5" t="s">
        <v>153</v>
      </c>
      <c r="M67" s="5" t="s">
        <v>18</v>
      </c>
      <c r="N67" s="5" t="str">
        <f>IF(K67=0,"Onsite",IF(K67=50,"Hybrid","Remote"))</f>
        <v>Remote</v>
      </c>
      <c r="O67" s="5">
        <f>IF(C67="Entrylevel",1,IF(C67="Intermediate",2,IF(C67="Senior",3,4)))</f>
        <v>1</v>
      </c>
    </row>
    <row r="68" spans="1:15" ht="14.4" x14ac:dyDescent="0.3">
      <c r="A68" s="4" t="s">
        <v>411</v>
      </c>
      <c r="B68" s="4">
        <v>2021</v>
      </c>
      <c r="C68" s="5" t="s">
        <v>37</v>
      </c>
      <c r="D68" s="5" t="s">
        <v>14</v>
      </c>
      <c r="E68" s="5" t="s">
        <v>83</v>
      </c>
      <c r="F68" s="4">
        <v>100000</v>
      </c>
      <c r="G68" s="5" t="s">
        <v>22</v>
      </c>
      <c r="H68" s="4">
        <v>100000</v>
      </c>
      <c r="I68" s="2">
        <f>H68*83.12</f>
        <v>8312000</v>
      </c>
      <c r="J68" s="5" t="s">
        <v>412</v>
      </c>
      <c r="K68" s="8">
        <v>0</v>
      </c>
      <c r="L68" s="5" t="s">
        <v>71</v>
      </c>
      <c r="M68" s="5" t="s">
        <v>18</v>
      </c>
      <c r="N68" s="5" t="str">
        <f>IF(K68=0,"Onsite",IF(K68=50,"Hybrid","Remote"))</f>
        <v>Onsite</v>
      </c>
      <c r="O68" s="5">
        <f>IF(C68="Entrylevel",1,IF(C68="Intermediate",2,IF(C68="Senior",3,4)))</f>
        <v>1</v>
      </c>
    </row>
    <row r="69" spans="1:15" ht="14.4" x14ac:dyDescent="0.3">
      <c r="A69" s="2" t="s">
        <v>12</v>
      </c>
      <c r="B69" s="2">
        <v>2020</v>
      </c>
      <c r="C69" s="3" t="s">
        <v>13</v>
      </c>
      <c r="D69" s="3" t="s">
        <v>14</v>
      </c>
      <c r="E69" s="3" t="s">
        <v>15</v>
      </c>
      <c r="F69" s="2">
        <v>70000</v>
      </c>
      <c r="G69" s="3" t="s">
        <v>16</v>
      </c>
      <c r="H69" s="2">
        <v>79833</v>
      </c>
      <c r="I69" s="2">
        <f>H69*83.12</f>
        <v>6635718.96</v>
      </c>
      <c r="J69" s="3" t="s">
        <v>17</v>
      </c>
      <c r="K69" s="7">
        <v>0</v>
      </c>
      <c r="L69" s="3" t="s">
        <v>17</v>
      </c>
      <c r="M69" s="3" t="s">
        <v>18</v>
      </c>
      <c r="N69" s="5" t="str">
        <f>IF(K69=0,"Onsite",IF(K69=50,"Hybrid","Remote"))</f>
        <v>Onsite</v>
      </c>
      <c r="O69" s="5">
        <f>IF(C69="Entrylevel",1,IF(C69="Intermediate",2,IF(C69="Senior",3,4)))</f>
        <v>2</v>
      </c>
    </row>
    <row r="70" spans="1:15" ht="14.4" x14ac:dyDescent="0.3">
      <c r="A70" s="4" t="s">
        <v>30</v>
      </c>
      <c r="B70" s="4">
        <v>2020</v>
      </c>
      <c r="C70" s="5" t="s">
        <v>13</v>
      </c>
      <c r="D70" s="5" t="s">
        <v>14</v>
      </c>
      <c r="E70" s="5" t="s">
        <v>31</v>
      </c>
      <c r="F70" s="4">
        <v>20000</v>
      </c>
      <c r="G70" s="5" t="s">
        <v>22</v>
      </c>
      <c r="H70" s="4">
        <v>20000</v>
      </c>
      <c r="I70" s="2">
        <f>H70*83.12</f>
        <v>1662400</v>
      </c>
      <c r="J70" s="5" t="s">
        <v>32</v>
      </c>
      <c r="K70" s="8">
        <v>0</v>
      </c>
      <c r="L70" s="5" t="s">
        <v>32</v>
      </c>
      <c r="M70" s="5" t="s">
        <v>24</v>
      </c>
      <c r="N70" s="5" t="str">
        <f>IF(K70=0,"Onsite",IF(K70=50,"Hybrid","Remote"))</f>
        <v>Onsite</v>
      </c>
      <c r="O70" s="5">
        <f>IF(C70="Entrylevel",1,IF(C70="Intermediate",2,IF(C70="Senior",3,4)))</f>
        <v>2</v>
      </c>
    </row>
    <row r="71" spans="1:15" ht="14.4" x14ac:dyDescent="0.3">
      <c r="A71" s="4" t="s">
        <v>41</v>
      </c>
      <c r="B71" s="4">
        <v>2020</v>
      </c>
      <c r="C71" s="5" t="s">
        <v>13</v>
      </c>
      <c r="D71" s="5" t="s">
        <v>14</v>
      </c>
      <c r="E71" s="5" t="s">
        <v>15</v>
      </c>
      <c r="F71" s="4">
        <v>11000000</v>
      </c>
      <c r="G71" s="5" t="s">
        <v>42</v>
      </c>
      <c r="H71" s="4">
        <v>35735</v>
      </c>
      <c r="I71" s="2">
        <f>H71*83.12</f>
        <v>2970293.2</v>
      </c>
      <c r="J71" s="5" t="s">
        <v>43</v>
      </c>
      <c r="K71" s="8">
        <v>50</v>
      </c>
      <c r="L71" s="5" t="s">
        <v>43</v>
      </c>
      <c r="M71" s="5" t="s">
        <v>18</v>
      </c>
      <c r="N71" s="5" t="str">
        <f>IF(K71=0,"Onsite",IF(K71=50,"Hybrid","Remote"))</f>
        <v>Hybrid</v>
      </c>
      <c r="O71" s="5">
        <f>IF(C71="Entrylevel",1,IF(C71="Intermediate",2,IF(C71="Senior",3,4)))</f>
        <v>2</v>
      </c>
    </row>
    <row r="72" spans="1:15" ht="14.4" x14ac:dyDescent="0.3">
      <c r="A72" s="2" t="s">
        <v>44</v>
      </c>
      <c r="B72" s="2">
        <v>2020</v>
      </c>
      <c r="C72" s="3" t="s">
        <v>13</v>
      </c>
      <c r="D72" s="3" t="s">
        <v>14</v>
      </c>
      <c r="E72" s="3" t="s">
        <v>45</v>
      </c>
      <c r="F72" s="2">
        <v>135000</v>
      </c>
      <c r="G72" s="3" t="s">
        <v>22</v>
      </c>
      <c r="H72" s="2">
        <v>135000</v>
      </c>
      <c r="I72" s="2">
        <f>H72*83.12</f>
        <v>11221200</v>
      </c>
      <c r="J72" s="3" t="s">
        <v>35</v>
      </c>
      <c r="K72" s="7">
        <v>100</v>
      </c>
      <c r="L72" s="3" t="s">
        <v>35</v>
      </c>
      <c r="M72" s="3" t="s">
        <v>18</v>
      </c>
      <c r="N72" s="5" t="str">
        <f>IF(K72=0,"Onsite",IF(K72=50,"Hybrid","Remote"))</f>
        <v>Remote</v>
      </c>
      <c r="O72" s="5">
        <f>IF(C72="Entrylevel",1,IF(C72="Intermediate",2,IF(C72="Senior",3,4)))</f>
        <v>2</v>
      </c>
    </row>
    <row r="73" spans="1:15" ht="14.4" x14ac:dyDescent="0.3">
      <c r="A73" s="4" t="s">
        <v>51</v>
      </c>
      <c r="B73" s="4">
        <v>2020</v>
      </c>
      <c r="C73" s="5" t="s">
        <v>13</v>
      </c>
      <c r="D73" s="5" t="s">
        <v>14</v>
      </c>
      <c r="E73" s="5" t="s">
        <v>15</v>
      </c>
      <c r="F73" s="4">
        <v>3000000</v>
      </c>
      <c r="G73" s="5" t="s">
        <v>52</v>
      </c>
      <c r="H73" s="4">
        <v>40481</v>
      </c>
      <c r="I73" s="2">
        <f>H73*83.12</f>
        <v>3364780.72</v>
      </c>
      <c r="J73" s="5" t="s">
        <v>53</v>
      </c>
      <c r="K73" s="8">
        <v>0</v>
      </c>
      <c r="L73" s="5" t="s">
        <v>53</v>
      </c>
      <c r="M73" s="5" t="s">
        <v>18</v>
      </c>
      <c r="N73" s="5" t="str">
        <f>IF(K73=0,"Onsite",IF(K73=50,"Hybrid","Remote"))</f>
        <v>Onsite</v>
      </c>
      <c r="O73" s="5">
        <f>IF(C73="Entrylevel",1,IF(C73="Intermediate",2,IF(C73="Senior",3,4)))</f>
        <v>2</v>
      </c>
    </row>
    <row r="74" spans="1:15" ht="14.4" x14ac:dyDescent="0.3">
      <c r="A74" s="4" t="s">
        <v>55</v>
      </c>
      <c r="B74" s="4">
        <v>2020</v>
      </c>
      <c r="C74" s="5" t="s">
        <v>13</v>
      </c>
      <c r="D74" s="5" t="s">
        <v>14</v>
      </c>
      <c r="E74" s="5" t="s">
        <v>56</v>
      </c>
      <c r="F74" s="4">
        <v>87000</v>
      </c>
      <c r="G74" s="5" t="s">
        <v>22</v>
      </c>
      <c r="H74" s="4">
        <v>87000</v>
      </c>
      <c r="I74" s="2">
        <f>H74*83.12</f>
        <v>7231440</v>
      </c>
      <c r="J74" s="5" t="s">
        <v>35</v>
      </c>
      <c r="K74" s="8">
        <v>100</v>
      </c>
      <c r="L74" s="5" t="s">
        <v>35</v>
      </c>
      <c r="M74" s="5" t="s">
        <v>18</v>
      </c>
      <c r="N74" s="5" t="str">
        <f>IF(K74=0,"Onsite",IF(K74=50,"Hybrid","Remote"))</f>
        <v>Remote</v>
      </c>
      <c r="O74" s="5">
        <f>IF(C74="Entrylevel",1,IF(C74="Intermediate",2,IF(C74="Senior",3,4)))</f>
        <v>2</v>
      </c>
    </row>
    <row r="75" spans="1:15" ht="14.4" x14ac:dyDescent="0.3">
      <c r="A75" s="2" t="s">
        <v>57</v>
      </c>
      <c r="B75" s="2">
        <v>2020</v>
      </c>
      <c r="C75" s="3" t="s">
        <v>13</v>
      </c>
      <c r="D75" s="3" t="s">
        <v>14</v>
      </c>
      <c r="E75" s="3" t="s">
        <v>38</v>
      </c>
      <c r="F75" s="2">
        <v>85000</v>
      </c>
      <c r="G75" s="3" t="s">
        <v>22</v>
      </c>
      <c r="H75" s="2">
        <v>85000</v>
      </c>
      <c r="I75" s="2">
        <f>H75*83.12</f>
        <v>7065200</v>
      </c>
      <c r="J75" s="3" t="s">
        <v>35</v>
      </c>
      <c r="K75" s="7">
        <v>100</v>
      </c>
      <c r="L75" s="3" t="s">
        <v>35</v>
      </c>
      <c r="M75" s="3" t="s">
        <v>18</v>
      </c>
      <c r="N75" s="5" t="str">
        <f>IF(K75=0,"Onsite",IF(K75=50,"Hybrid","Remote"))</f>
        <v>Remote</v>
      </c>
      <c r="O75" s="5">
        <f>IF(C75="Entrylevel",1,IF(C75="Intermediate",2,IF(C75="Senior",3,4)))</f>
        <v>2</v>
      </c>
    </row>
    <row r="76" spans="1:15" ht="14.4" x14ac:dyDescent="0.3">
      <c r="A76" s="4" t="s">
        <v>58</v>
      </c>
      <c r="B76" s="4">
        <v>2020</v>
      </c>
      <c r="C76" s="5" t="s">
        <v>13</v>
      </c>
      <c r="D76" s="5" t="s">
        <v>14</v>
      </c>
      <c r="E76" s="5" t="s">
        <v>38</v>
      </c>
      <c r="F76" s="4">
        <v>8000</v>
      </c>
      <c r="G76" s="5" t="s">
        <v>22</v>
      </c>
      <c r="H76" s="4">
        <v>8000</v>
      </c>
      <c r="I76" s="2">
        <f>H76*83.12</f>
        <v>664960</v>
      </c>
      <c r="J76" s="5" t="s">
        <v>59</v>
      </c>
      <c r="K76" s="8">
        <v>50</v>
      </c>
      <c r="L76" s="5" t="s">
        <v>59</v>
      </c>
      <c r="M76" s="5" t="s">
        <v>18</v>
      </c>
      <c r="N76" s="5" t="str">
        <f>IF(K76=0,"Onsite",IF(K76=50,"Hybrid","Remote"))</f>
        <v>Hybrid</v>
      </c>
      <c r="O76" s="5">
        <f>IF(C76="Entrylevel",1,IF(C76="Intermediate",2,IF(C76="Senior",3,4)))</f>
        <v>2</v>
      </c>
    </row>
    <row r="77" spans="1:15" ht="14.4" x14ac:dyDescent="0.3">
      <c r="A77" s="4" t="s">
        <v>67</v>
      </c>
      <c r="B77" s="4">
        <v>2020</v>
      </c>
      <c r="C77" s="5" t="s">
        <v>13</v>
      </c>
      <c r="D77" s="5" t="s">
        <v>14</v>
      </c>
      <c r="E77" s="5" t="s">
        <v>47</v>
      </c>
      <c r="F77" s="4">
        <v>56000</v>
      </c>
      <c r="G77" s="5" t="s">
        <v>22</v>
      </c>
      <c r="H77" s="4">
        <v>56000</v>
      </c>
      <c r="I77" s="2">
        <f>H77*83.12</f>
        <v>4654720</v>
      </c>
      <c r="J77" s="5" t="s">
        <v>68</v>
      </c>
      <c r="K77" s="8">
        <v>100</v>
      </c>
      <c r="L77" s="5" t="s">
        <v>35</v>
      </c>
      <c r="M77" s="5" t="s">
        <v>29</v>
      </c>
      <c r="N77" s="5" t="str">
        <f>IF(K77=0,"Onsite",IF(K77=50,"Hybrid","Remote"))</f>
        <v>Remote</v>
      </c>
      <c r="O77" s="5">
        <f>IF(C77="Entrylevel",1,IF(C77="Intermediate",2,IF(C77="Senior",3,4)))</f>
        <v>2</v>
      </c>
    </row>
    <row r="78" spans="1:15" ht="14.4" x14ac:dyDescent="0.3">
      <c r="A78" s="2" t="s">
        <v>69</v>
      </c>
      <c r="B78" s="2">
        <v>2020</v>
      </c>
      <c r="C78" s="3" t="s">
        <v>13</v>
      </c>
      <c r="D78" s="3" t="s">
        <v>14</v>
      </c>
      <c r="E78" s="3" t="s">
        <v>34</v>
      </c>
      <c r="F78" s="2">
        <v>299000</v>
      </c>
      <c r="G78" s="3" t="s">
        <v>70</v>
      </c>
      <c r="H78" s="2">
        <v>43331</v>
      </c>
      <c r="I78" s="2">
        <f>H78*83.12</f>
        <v>3601672.72</v>
      </c>
      <c r="J78" s="3" t="s">
        <v>71</v>
      </c>
      <c r="K78" s="7">
        <v>0</v>
      </c>
      <c r="L78" s="3" t="s">
        <v>71</v>
      </c>
      <c r="M78" s="3" t="s">
        <v>29</v>
      </c>
      <c r="N78" s="5" t="str">
        <f>IF(K78=0,"Onsite",IF(K78=50,"Hybrid","Remote"))</f>
        <v>Onsite</v>
      </c>
      <c r="O78" s="5">
        <f>IF(C78="Entrylevel",1,IF(C78="Intermediate",2,IF(C78="Senior",3,4)))</f>
        <v>2</v>
      </c>
    </row>
    <row r="79" spans="1:15" ht="14.4" x14ac:dyDescent="0.3">
      <c r="A79" s="4" t="s">
        <v>72</v>
      </c>
      <c r="B79" s="4">
        <v>2020</v>
      </c>
      <c r="C79" s="5" t="s">
        <v>13</v>
      </c>
      <c r="D79" s="5" t="s">
        <v>14</v>
      </c>
      <c r="E79" s="5" t="s">
        <v>31</v>
      </c>
      <c r="F79" s="4">
        <v>450000</v>
      </c>
      <c r="G79" s="5" t="s">
        <v>52</v>
      </c>
      <c r="H79" s="4">
        <v>6072</v>
      </c>
      <c r="I79" s="2">
        <f>H79*83.12</f>
        <v>504704.64</v>
      </c>
      <c r="J79" s="5" t="s">
        <v>53</v>
      </c>
      <c r="K79" s="8">
        <v>100</v>
      </c>
      <c r="L79" s="5" t="s">
        <v>53</v>
      </c>
      <c r="M79" s="5" t="s">
        <v>18</v>
      </c>
      <c r="N79" s="5" t="str">
        <f>IF(K79=0,"Onsite",IF(K79=50,"Hybrid","Remote"))</f>
        <v>Remote</v>
      </c>
      <c r="O79" s="5">
        <f>IF(C79="Entrylevel",1,IF(C79="Intermediate",2,IF(C79="Senior",3,4)))</f>
        <v>2</v>
      </c>
    </row>
    <row r="80" spans="1:15" ht="14.4" x14ac:dyDescent="0.3">
      <c r="A80" s="4" t="s">
        <v>75</v>
      </c>
      <c r="B80" s="4">
        <v>2020</v>
      </c>
      <c r="C80" s="5" t="s">
        <v>13</v>
      </c>
      <c r="D80" s="5" t="s">
        <v>14</v>
      </c>
      <c r="E80" s="5" t="s">
        <v>76</v>
      </c>
      <c r="F80" s="4">
        <v>98000</v>
      </c>
      <c r="G80" s="5" t="s">
        <v>22</v>
      </c>
      <c r="H80" s="4">
        <v>98000</v>
      </c>
      <c r="I80" s="2">
        <f>H80*83.12</f>
        <v>8145760</v>
      </c>
      <c r="J80" s="5" t="s">
        <v>35</v>
      </c>
      <c r="K80" s="8">
        <v>0</v>
      </c>
      <c r="L80" s="5" t="s">
        <v>35</v>
      </c>
      <c r="M80" s="5" t="s">
        <v>29</v>
      </c>
      <c r="N80" s="5" t="str">
        <f>IF(K80=0,"Onsite",IF(K80=50,"Hybrid","Remote"))</f>
        <v>Onsite</v>
      </c>
      <c r="O80" s="5">
        <f>IF(C80="Entrylevel",1,IF(C80="Intermediate",2,IF(C80="Senior",3,4)))</f>
        <v>2</v>
      </c>
    </row>
    <row r="81" spans="1:15" ht="14.4" x14ac:dyDescent="0.3">
      <c r="A81" s="2" t="s">
        <v>77</v>
      </c>
      <c r="B81" s="2">
        <v>2020</v>
      </c>
      <c r="C81" s="3" t="s">
        <v>13</v>
      </c>
      <c r="D81" s="3" t="s">
        <v>14</v>
      </c>
      <c r="E81" s="3" t="s">
        <v>40</v>
      </c>
      <c r="F81" s="2">
        <v>115000</v>
      </c>
      <c r="G81" s="3" t="s">
        <v>22</v>
      </c>
      <c r="H81" s="2">
        <v>115000</v>
      </c>
      <c r="I81" s="2">
        <f>H81*83.12</f>
        <v>9558800</v>
      </c>
      <c r="J81" s="3" t="s">
        <v>78</v>
      </c>
      <c r="K81" s="7">
        <v>0</v>
      </c>
      <c r="L81" s="3" t="s">
        <v>78</v>
      </c>
      <c r="M81" s="3" t="s">
        <v>18</v>
      </c>
      <c r="N81" s="5" t="str">
        <f>IF(K81=0,"Onsite",IF(K81=50,"Hybrid","Remote"))</f>
        <v>Onsite</v>
      </c>
      <c r="O81" s="5">
        <f>IF(C81="Entrylevel",1,IF(C81="Intermediate",2,IF(C81="Senior",3,4)))</f>
        <v>2</v>
      </c>
    </row>
    <row r="82" spans="1:15" ht="14.4" x14ac:dyDescent="0.3">
      <c r="A82" s="2" t="s">
        <v>94</v>
      </c>
      <c r="B82" s="2">
        <v>2020</v>
      </c>
      <c r="C82" s="3" t="s">
        <v>13</v>
      </c>
      <c r="D82" s="3" t="s">
        <v>14</v>
      </c>
      <c r="E82" s="3" t="s">
        <v>95</v>
      </c>
      <c r="F82" s="2">
        <v>51999</v>
      </c>
      <c r="G82" s="3" t="s">
        <v>16</v>
      </c>
      <c r="H82" s="2">
        <v>59303</v>
      </c>
      <c r="I82" s="2">
        <f>H82*83.12</f>
        <v>4929265.3600000003</v>
      </c>
      <c r="J82" s="3" t="s">
        <v>17</v>
      </c>
      <c r="K82" s="7">
        <v>100</v>
      </c>
      <c r="L82" s="3" t="s">
        <v>17</v>
      </c>
      <c r="M82" s="3" t="s">
        <v>24</v>
      </c>
      <c r="N82" s="5" t="str">
        <f>IF(K82=0,"Onsite",IF(K82=50,"Hybrid","Remote"))</f>
        <v>Remote</v>
      </c>
      <c r="O82" s="5">
        <f>IF(C82="Entrylevel",1,IF(C82="Intermediate",2,IF(C82="Senior",3,4)))</f>
        <v>2</v>
      </c>
    </row>
    <row r="83" spans="1:15" ht="14.4" x14ac:dyDescent="0.3">
      <c r="A83" s="4" t="s">
        <v>98</v>
      </c>
      <c r="B83" s="4">
        <v>2020</v>
      </c>
      <c r="C83" s="5" t="s">
        <v>13</v>
      </c>
      <c r="D83" s="5" t="s">
        <v>14</v>
      </c>
      <c r="E83" s="5" t="s">
        <v>83</v>
      </c>
      <c r="F83" s="4">
        <v>450000</v>
      </c>
      <c r="G83" s="5" t="s">
        <v>22</v>
      </c>
      <c r="H83" s="4">
        <v>450000</v>
      </c>
      <c r="I83" s="2">
        <f>H83*83.12</f>
        <v>37404000</v>
      </c>
      <c r="J83" s="5" t="s">
        <v>35</v>
      </c>
      <c r="K83" s="8">
        <v>0</v>
      </c>
      <c r="L83" s="5" t="s">
        <v>35</v>
      </c>
      <c r="M83" s="5" t="s">
        <v>29</v>
      </c>
      <c r="N83" s="5" t="str">
        <f>IF(K83=0,"Onsite",IF(K83=50,"Hybrid","Remote"))</f>
        <v>Onsite</v>
      </c>
      <c r="O83" s="5">
        <f>IF(C83="Entrylevel",1,IF(C83="Intermediate",2,IF(C83="Senior",3,4)))</f>
        <v>2</v>
      </c>
    </row>
    <row r="84" spans="1:15" ht="14.4" x14ac:dyDescent="0.3">
      <c r="A84" s="2" t="s">
        <v>99</v>
      </c>
      <c r="B84" s="2">
        <v>2020</v>
      </c>
      <c r="C84" s="3" t="s">
        <v>13</v>
      </c>
      <c r="D84" s="3" t="s">
        <v>14</v>
      </c>
      <c r="E84" s="3" t="s">
        <v>38</v>
      </c>
      <c r="F84" s="2">
        <v>41000</v>
      </c>
      <c r="G84" s="3" t="s">
        <v>16</v>
      </c>
      <c r="H84" s="2">
        <v>46759</v>
      </c>
      <c r="I84" s="2">
        <f>H84*83.12</f>
        <v>3886608.08</v>
      </c>
      <c r="J84" s="3" t="s">
        <v>50</v>
      </c>
      <c r="K84" s="7">
        <v>50</v>
      </c>
      <c r="L84" s="3" t="s">
        <v>50</v>
      </c>
      <c r="M84" s="3" t="s">
        <v>18</v>
      </c>
      <c r="N84" s="5" t="str">
        <f>IF(K84=0,"Onsite",IF(K84=50,"Hybrid","Remote"))</f>
        <v>Hybrid</v>
      </c>
      <c r="O84" s="5">
        <f>IF(C84="Entrylevel",1,IF(C84="Intermediate",2,IF(C84="Senior",3,4)))</f>
        <v>2</v>
      </c>
    </row>
    <row r="85" spans="1:15" ht="14.4" x14ac:dyDescent="0.3">
      <c r="A85" s="4" t="s">
        <v>100</v>
      </c>
      <c r="B85" s="4">
        <v>2020</v>
      </c>
      <c r="C85" s="5" t="s">
        <v>13</v>
      </c>
      <c r="D85" s="5" t="s">
        <v>14</v>
      </c>
      <c r="E85" s="5" t="s">
        <v>61</v>
      </c>
      <c r="F85" s="4">
        <v>65000</v>
      </c>
      <c r="G85" s="5" t="s">
        <v>16</v>
      </c>
      <c r="H85" s="4">
        <v>74130</v>
      </c>
      <c r="I85" s="2">
        <f>H85*83.12</f>
        <v>6161685.6000000006</v>
      </c>
      <c r="J85" s="5" t="s">
        <v>101</v>
      </c>
      <c r="K85" s="8">
        <v>50</v>
      </c>
      <c r="L85" s="5" t="s">
        <v>101</v>
      </c>
      <c r="M85" s="5" t="s">
        <v>18</v>
      </c>
      <c r="N85" s="5" t="str">
        <f>IF(K85=0,"Onsite",IF(K85=50,"Hybrid","Remote"))</f>
        <v>Hybrid</v>
      </c>
      <c r="O85" s="5">
        <f>IF(C85="Entrylevel",1,IF(C85="Intermediate",2,IF(C85="Senior",3,4)))</f>
        <v>2</v>
      </c>
    </row>
    <row r="86" spans="1:15" ht="14.4" x14ac:dyDescent="0.3">
      <c r="A86" s="2" t="s">
        <v>102</v>
      </c>
      <c r="B86" s="2">
        <v>2020</v>
      </c>
      <c r="C86" s="3" t="s">
        <v>13</v>
      </c>
      <c r="D86" s="3" t="s">
        <v>14</v>
      </c>
      <c r="E86" s="3" t="s">
        <v>66</v>
      </c>
      <c r="F86" s="2">
        <v>103000</v>
      </c>
      <c r="G86" s="3" t="s">
        <v>22</v>
      </c>
      <c r="H86" s="2">
        <v>103000</v>
      </c>
      <c r="I86" s="2">
        <f>H86*83.12</f>
        <v>8561360</v>
      </c>
      <c r="J86" s="3" t="s">
        <v>35</v>
      </c>
      <c r="K86" s="7">
        <v>100</v>
      </c>
      <c r="L86" s="3" t="s">
        <v>35</v>
      </c>
      <c r="M86" s="3" t="s">
        <v>18</v>
      </c>
      <c r="N86" s="5" t="str">
        <f>IF(K86=0,"Onsite",IF(K86=50,"Hybrid","Remote"))</f>
        <v>Remote</v>
      </c>
      <c r="O86" s="5">
        <f>IF(C86="Entrylevel",1,IF(C86="Intermediate",2,IF(C86="Senior",3,4)))</f>
        <v>2</v>
      </c>
    </row>
    <row r="87" spans="1:15" ht="14.4" x14ac:dyDescent="0.3">
      <c r="A87" s="2" t="s">
        <v>107</v>
      </c>
      <c r="B87" s="2">
        <v>2020</v>
      </c>
      <c r="C87" s="3" t="s">
        <v>13</v>
      </c>
      <c r="D87" s="3" t="s">
        <v>14</v>
      </c>
      <c r="E87" s="3" t="s">
        <v>15</v>
      </c>
      <c r="F87" s="2">
        <v>45760</v>
      </c>
      <c r="G87" s="3" t="s">
        <v>22</v>
      </c>
      <c r="H87" s="2">
        <v>45760</v>
      </c>
      <c r="I87" s="2">
        <f>H87*83.12</f>
        <v>3803571.2</v>
      </c>
      <c r="J87" s="3" t="s">
        <v>108</v>
      </c>
      <c r="K87" s="7">
        <v>100</v>
      </c>
      <c r="L87" s="3" t="s">
        <v>35</v>
      </c>
      <c r="M87" s="3" t="s">
        <v>24</v>
      </c>
      <c r="N87" s="5" t="str">
        <f>IF(K87=0,"Onsite",IF(K87=50,"Hybrid","Remote"))</f>
        <v>Remote</v>
      </c>
      <c r="O87" s="5">
        <f>IF(C87="Entrylevel",1,IF(C87="Intermediate",2,IF(C87="Senior",3,4)))</f>
        <v>2</v>
      </c>
    </row>
    <row r="88" spans="1:15" ht="14.4" x14ac:dyDescent="0.3">
      <c r="A88" s="2" t="s">
        <v>111</v>
      </c>
      <c r="B88" s="2">
        <v>2020</v>
      </c>
      <c r="C88" s="3" t="s">
        <v>13</v>
      </c>
      <c r="D88" s="3" t="s">
        <v>14</v>
      </c>
      <c r="E88" s="3" t="s">
        <v>112</v>
      </c>
      <c r="F88" s="2">
        <v>44000</v>
      </c>
      <c r="G88" s="3" t="s">
        <v>16</v>
      </c>
      <c r="H88" s="2">
        <v>50180</v>
      </c>
      <c r="I88" s="2">
        <f>H88*83.12</f>
        <v>4170961.6</v>
      </c>
      <c r="J88" s="3" t="s">
        <v>68</v>
      </c>
      <c r="K88" s="7">
        <v>0</v>
      </c>
      <c r="L88" s="3" t="s">
        <v>68</v>
      </c>
      <c r="M88" s="3" t="s">
        <v>29</v>
      </c>
      <c r="N88" s="5" t="str">
        <f>IF(K88=0,"Onsite",IF(K88=50,"Hybrid","Remote"))</f>
        <v>Onsite</v>
      </c>
      <c r="O88" s="5">
        <f>IF(C88="Entrylevel",1,IF(C88="Intermediate",2,IF(C88="Senior",3,4)))</f>
        <v>2</v>
      </c>
    </row>
    <row r="89" spans="1:15" ht="14.4" x14ac:dyDescent="0.3">
      <c r="A89" s="4" t="s">
        <v>113</v>
      </c>
      <c r="B89" s="4">
        <v>2020</v>
      </c>
      <c r="C89" s="5" t="s">
        <v>13</v>
      </c>
      <c r="D89" s="5" t="s">
        <v>14</v>
      </c>
      <c r="E89" s="5" t="s">
        <v>61</v>
      </c>
      <c r="F89" s="4">
        <v>106000</v>
      </c>
      <c r="G89" s="5" t="s">
        <v>22</v>
      </c>
      <c r="H89" s="4">
        <v>106000</v>
      </c>
      <c r="I89" s="2">
        <f>H89*83.12</f>
        <v>8810720</v>
      </c>
      <c r="J89" s="5" t="s">
        <v>35</v>
      </c>
      <c r="K89" s="8">
        <v>100</v>
      </c>
      <c r="L89" s="5" t="s">
        <v>35</v>
      </c>
      <c r="M89" s="5" t="s">
        <v>18</v>
      </c>
      <c r="N89" s="5" t="str">
        <f>IF(K89=0,"Onsite",IF(K89=50,"Hybrid","Remote"))</f>
        <v>Remote</v>
      </c>
      <c r="O89" s="5">
        <f>IF(C89="Entrylevel",1,IF(C89="Intermediate",2,IF(C89="Senior",3,4)))</f>
        <v>2</v>
      </c>
    </row>
    <row r="90" spans="1:15" ht="14.4" x14ac:dyDescent="0.3">
      <c r="A90" s="2" t="s">
        <v>114</v>
      </c>
      <c r="B90" s="2">
        <v>2020</v>
      </c>
      <c r="C90" s="3" t="s">
        <v>13</v>
      </c>
      <c r="D90" s="3" t="s">
        <v>14</v>
      </c>
      <c r="E90" s="3" t="s">
        <v>61</v>
      </c>
      <c r="F90" s="2">
        <v>88000</v>
      </c>
      <c r="G90" s="3" t="s">
        <v>27</v>
      </c>
      <c r="H90" s="2">
        <v>112872</v>
      </c>
      <c r="I90" s="2">
        <f>H90*83.12</f>
        <v>9381920.6400000006</v>
      </c>
      <c r="J90" s="3" t="s">
        <v>28</v>
      </c>
      <c r="K90" s="7">
        <v>50</v>
      </c>
      <c r="L90" s="3" t="s">
        <v>28</v>
      </c>
      <c r="M90" s="3" t="s">
        <v>18</v>
      </c>
      <c r="N90" s="5" t="str">
        <f>IF(K90=0,"Onsite",IF(K90=50,"Hybrid","Remote"))</f>
        <v>Hybrid</v>
      </c>
      <c r="O90" s="5">
        <f>IF(C90="Entrylevel",1,IF(C90="Intermediate",2,IF(C90="Senior",3,4)))</f>
        <v>2</v>
      </c>
    </row>
    <row r="91" spans="1:15" ht="14.4" x14ac:dyDescent="0.3">
      <c r="A91" s="2" t="s">
        <v>118</v>
      </c>
      <c r="B91" s="2">
        <v>2020</v>
      </c>
      <c r="C91" s="3" t="s">
        <v>13</v>
      </c>
      <c r="D91" s="3" t="s">
        <v>14</v>
      </c>
      <c r="E91" s="3" t="s">
        <v>15</v>
      </c>
      <c r="F91" s="2">
        <v>60000</v>
      </c>
      <c r="G91" s="3" t="s">
        <v>27</v>
      </c>
      <c r="H91" s="2">
        <v>76958</v>
      </c>
      <c r="I91" s="2">
        <f>H91*83.12</f>
        <v>6396748.96</v>
      </c>
      <c r="J91" s="3" t="s">
        <v>28</v>
      </c>
      <c r="K91" s="7">
        <v>100</v>
      </c>
      <c r="L91" s="3" t="s">
        <v>28</v>
      </c>
      <c r="M91" s="3" t="s">
        <v>24</v>
      </c>
      <c r="N91" s="5" t="str">
        <f>IF(K91=0,"Onsite",IF(K91=50,"Hybrid","Remote"))</f>
        <v>Remote</v>
      </c>
      <c r="O91" s="5">
        <f>IF(C91="Entrylevel",1,IF(C91="Intermediate",2,IF(C91="Senior",3,4)))</f>
        <v>2</v>
      </c>
    </row>
    <row r="92" spans="1:15" ht="14.4" x14ac:dyDescent="0.3">
      <c r="A92" s="2" t="s">
        <v>120</v>
      </c>
      <c r="B92" s="2">
        <v>2020</v>
      </c>
      <c r="C92" s="3" t="s">
        <v>13</v>
      </c>
      <c r="D92" s="3" t="s">
        <v>14</v>
      </c>
      <c r="E92" s="3" t="s">
        <v>15</v>
      </c>
      <c r="F92" s="2">
        <v>105000</v>
      </c>
      <c r="G92" s="3" t="s">
        <v>22</v>
      </c>
      <c r="H92" s="2">
        <v>105000</v>
      </c>
      <c r="I92" s="2">
        <f>H92*83.12</f>
        <v>8727600</v>
      </c>
      <c r="J92" s="3" t="s">
        <v>35</v>
      </c>
      <c r="K92" s="7">
        <v>100</v>
      </c>
      <c r="L92" s="3" t="s">
        <v>35</v>
      </c>
      <c r="M92" s="3" t="s">
        <v>18</v>
      </c>
      <c r="N92" s="5" t="str">
        <f>IF(K92=0,"Onsite",IF(K92=50,"Hybrid","Remote"))</f>
        <v>Remote</v>
      </c>
      <c r="O92" s="5">
        <f>IF(C92="Entrylevel",1,IF(C92="Intermediate",2,IF(C92="Senior",3,4)))</f>
        <v>2</v>
      </c>
    </row>
    <row r="93" spans="1:15" ht="14.4" x14ac:dyDescent="0.3">
      <c r="A93" s="4" t="s">
        <v>121</v>
      </c>
      <c r="B93" s="4">
        <v>2020</v>
      </c>
      <c r="C93" s="5" t="s">
        <v>13</v>
      </c>
      <c r="D93" s="5" t="s">
        <v>14</v>
      </c>
      <c r="E93" s="5" t="s">
        <v>61</v>
      </c>
      <c r="F93" s="4">
        <v>61500</v>
      </c>
      <c r="G93" s="5" t="s">
        <v>16</v>
      </c>
      <c r="H93" s="4">
        <v>70139</v>
      </c>
      <c r="I93" s="2">
        <f>H93*83.12</f>
        <v>5829953.6800000006</v>
      </c>
      <c r="J93" s="5" t="s">
        <v>50</v>
      </c>
      <c r="K93" s="8">
        <v>50</v>
      </c>
      <c r="L93" s="5" t="s">
        <v>50</v>
      </c>
      <c r="M93" s="5" t="s">
        <v>18</v>
      </c>
      <c r="N93" s="5" t="str">
        <f>IF(K93=0,"Onsite",IF(K93=50,"Hybrid","Remote"))</f>
        <v>Hybrid</v>
      </c>
      <c r="O93" s="5">
        <f>IF(C93="Entrylevel",1,IF(C93="Intermediate",2,IF(C93="Senior",3,4)))</f>
        <v>2</v>
      </c>
    </row>
    <row r="94" spans="1:15" ht="14.4" x14ac:dyDescent="0.3">
      <c r="A94" s="2" t="s">
        <v>135</v>
      </c>
      <c r="B94" s="2">
        <v>2020</v>
      </c>
      <c r="C94" s="3" t="s">
        <v>13</v>
      </c>
      <c r="D94" s="3" t="s">
        <v>14</v>
      </c>
      <c r="E94" s="3" t="s">
        <v>15</v>
      </c>
      <c r="F94" s="2">
        <v>34000</v>
      </c>
      <c r="G94" s="3" t="s">
        <v>16</v>
      </c>
      <c r="H94" s="2">
        <v>38776</v>
      </c>
      <c r="I94" s="2">
        <f>H94*83.12</f>
        <v>3223061.12</v>
      </c>
      <c r="J94" s="3" t="s">
        <v>110</v>
      </c>
      <c r="K94" s="7">
        <v>100</v>
      </c>
      <c r="L94" s="3" t="s">
        <v>110</v>
      </c>
      <c r="M94" s="3" t="s">
        <v>29</v>
      </c>
      <c r="N94" s="5" t="str">
        <f>IF(K94=0,"Onsite",IF(K94=50,"Hybrid","Remote"))</f>
        <v>Remote</v>
      </c>
      <c r="O94" s="5">
        <f>IF(C94="Entrylevel",1,IF(C94="Intermediate",2,IF(C94="Senior",3,4)))</f>
        <v>2</v>
      </c>
    </row>
    <row r="95" spans="1:15" ht="14.4" x14ac:dyDescent="0.3">
      <c r="A95" s="4" t="s">
        <v>136</v>
      </c>
      <c r="B95" s="4">
        <v>2020</v>
      </c>
      <c r="C95" s="5" t="s">
        <v>13</v>
      </c>
      <c r="D95" s="5" t="s">
        <v>14</v>
      </c>
      <c r="E95" s="5" t="s">
        <v>15</v>
      </c>
      <c r="F95" s="4">
        <v>118000</v>
      </c>
      <c r="G95" s="5" t="s">
        <v>22</v>
      </c>
      <c r="H95" s="4">
        <v>118000</v>
      </c>
      <c r="I95" s="2">
        <f>H95*83.12</f>
        <v>9808160</v>
      </c>
      <c r="J95" s="5" t="s">
        <v>35</v>
      </c>
      <c r="K95" s="8">
        <v>100</v>
      </c>
      <c r="L95" s="5" t="s">
        <v>35</v>
      </c>
      <c r="M95" s="5" t="s">
        <v>29</v>
      </c>
      <c r="N95" s="5" t="str">
        <f>IF(K95=0,"Onsite",IF(K95=50,"Hybrid","Remote"))</f>
        <v>Remote</v>
      </c>
      <c r="O95" s="5">
        <f>IF(C95="Entrylevel",1,IF(C95="Intermediate",2,IF(C95="Senior",3,4)))</f>
        <v>2</v>
      </c>
    </row>
    <row r="96" spans="1:15" ht="14.4" x14ac:dyDescent="0.3">
      <c r="A96" s="4" t="s">
        <v>138</v>
      </c>
      <c r="B96" s="4">
        <v>2020</v>
      </c>
      <c r="C96" s="5" t="s">
        <v>13</v>
      </c>
      <c r="D96" s="5" t="s">
        <v>14</v>
      </c>
      <c r="E96" s="5" t="s">
        <v>15</v>
      </c>
      <c r="F96" s="4">
        <v>138350</v>
      </c>
      <c r="G96" s="5" t="s">
        <v>22</v>
      </c>
      <c r="H96" s="4">
        <v>138350</v>
      </c>
      <c r="I96" s="2">
        <f>H96*83.12</f>
        <v>11499652</v>
      </c>
      <c r="J96" s="5" t="s">
        <v>35</v>
      </c>
      <c r="K96" s="8">
        <v>100</v>
      </c>
      <c r="L96" s="5" t="s">
        <v>35</v>
      </c>
      <c r="M96" s="5" t="s">
        <v>29</v>
      </c>
      <c r="N96" s="5" t="str">
        <f>IF(K96=0,"Onsite",IF(K96=50,"Hybrid","Remote"))</f>
        <v>Remote</v>
      </c>
      <c r="O96" s="5">
        <f>IF(C96="Entrylevel",1,IF(C96="Intermediate",2,IF(C96="Senior",3,4)))</f>
        <v>2</v>
      </c>
    </row>
    <row r="97" spans="1:15" ht="14.4" x14ac:dyDescent="0.3">
      <c r="A97" s="2" t="s">
        <v>139</v>
      </c>
      <c r="B97" s="2">
        <v>2020</v>
      </c>
      <c r="C97" s="3" t="s">
        <v>13</v>
      </c>
      <c r="D97" s="3" t="s">
        <v>14</v>
      </c>
      <c r="E97" s="3" t="s">
        <v>61</v>
      </c>
      <c r="F97" s="2">
        <v>110000</v>
      </c>
      <c r="G97" s="3" t="s">
        <v>22</v>
      </c>
      <c r="H97" s="2">
        <v>110000</v>
      </c>
      <c r="I97" s="2">
        <f>H97*83.12</f>
        <v>9143200</v>
      </c>
      <c r="J97" s="3" t="s">
        <v>35</v>
      </c>
      <c r="K97" s="7">
        <v>100</v>
      </c>
      <c r="L97" s="3" t="s">
        <v>35</v>
      </c>
      <c r="M97" s="3" t="s">
        <v>18</v>
      </c>
      <c r="N97" s="5" t="str">
        <f>IF(K97=0,"Onsite",IF(K97=50,"Hybrid","Remote"))</f>
        <v>Remote</v>
      </c>
      <c r="O97" s="5">
        <f>IF(C97="Entrylevel",1,IF(C97="Intermediate",2,IF(C97="Senior",3,4)))</f>
        <v>2</v>
      </c>
    </row>
    <row r="98" spans="1:15" ht="14.4" x14ac:dyDescent="0.3">
      <c r="A98" s="4" t="s">
        <v>140</v>
      </c>
      <c r="B98" s="4">
        <v>2020</v>
      </c>
      <c r="C98" s="5" t="s">
        <v>13</v>
      </c>
      <c r="D98" s="5" t="s">
        <v>14</v>
      </c>
      <c r="E98" s="5" t="s">
        <v>61</v>
      </c>
      <c r="F98" s="4">
        <v>130800</v>
      </c>
      <c r="G98" s="5" t="s">
        <v>22</v>
      </c>
      <c r="H98" s="4">
        <v>130800</v>
      </c>
      <c r="I98" s="2">
        <f>H98*83.12</f>
        <v>10872096</v>
      </c>
      <c r="J98" s="5" t="s">
        <v>110</v>
      </c>
      <c r="K98" s="8">
        <v>100</v>
      </c>
      <c r="L98" s="5" t="s">
        <v>35</v>
      </c>
      <c r="M98" s="5" t="s">
        <v>29</v>
      </c>
      <c r="N98" s="5" t="str">
        <f>IF(K98=0,"Onsite",IF(K98=50,"Hybrid","Remote"))</f>
        <v>Remote</v>
      </c>
      <c r="O98" s="5">
        <f>IF(C98="Entrylevel",1,IF(C98="Intermediate",2,IF(C98="Senior",3,4)))</f>
        <v>2</v>
      </c>
    </row>
    <row r="99" spans="1:15" ht="14.4" x14ac:dyDescent="0.3">
      <c r="A99" s="2" t="s">
        <v>152</v>
      </c>
      <c r="B99" s="2">
        <v>2020</v>
      </c>
      <c r="C99" s="3" t="s">
        <v>13</v>
      </c>
      <c r="D99" s="3" t="s">
        <v>14</v>
      </c>
      <c r="E99" s="3" t="s">
        <v>15</v>
      </c>
      <c r="F99" s="2">
        <v>55000</v>
      </c>
      <c r="G99" s="3" t="s">
        <v>16</v>
      </c>
      <c r="H99" s="2">
        <v>62726</v>
      </c>
      <c r="I99" s="2">
        <f>H99*83.12</f>
        <v>5213785.12</v>
      </c>
      <c r="J99" s="3" t="s">
        <v>50</v>
      </c>
      <c r="K99" s="7">
        <v>50</v>
      </c>
      <c r="L99" s="3" t="s">
        <v>153</v>
      </c>
      <c r="M99" s="3" t="s">
        <v>24</v>
      </c>
      <c r="N99" s="5" t="str">
        <f>IF(K99=0,"Onsite",IF(K99=50,"Hybrid","Remote"))</f>
        <v>Hybrid</v>
      </c>
      <c r="O99" s="5">
        <f>IF(C99="Entrylevel",1,IF(C99="Intermediate",2,IF(C99="Senior",3,4)))</f>
        <v>2</v>
      </c>
    </row>
    <row r="100" spans="1:15" ht="14.4" x14ac:dyDescent="0.3">
      <c r="A100" s="4" t="s">
        <v>154</v>
      </c>
      <c r="B100" s="4">
        <v>2020</v>
      </c>
      <c r="C100" s="5" t="s">
        <v>13</v>
      </c>
      <c r="D100" s="5" t="s">
        <v>14</v>
      </c>
      <c r="E100" s="5" t="s">
        <v>15</v>
      </c>
      <c r="F100" s="4">
        <v>37000</v>
      </c>
      <c r="G100" s="5" t="s">
        <v>16</v>
      </c>
      <c r="H100" s="4">
        <v>42197</v>
      </c>
      <c r="I100" s="2">
        <f>H100*83.12</f>
        <v>3507414.64</v>
      </c>
      <c r="J100" s="5" t="s">
        <v>50</v>
      </c>
      <c r="K100" s="8">
        <v>50</v>
      </c>
      <c r="L100" s="5" t="s">
        <v>50</v>
      </c>
      <c r="M100" s="5" t="s">
        <v>24</v>
      </c>
      <c r="N100" s="5" t="str">
        <f>IF(K100=0,"Onsite",IF(K100=50,"Hybrid","Remote"))</f>
        <v>Hybrid</v>
      </c>
      <c r="O100" s="5">
        <f>IF(C100="Entrylevel",1,IF(C100="Intermediate",2,IF(C100="Senior",3,4)))</f>
        <v>2</v>
      </c>
    </row>
    <row r="101" spans="1:15" ht="14.4" x14ac:dyDescent="0.3">
      <c r="A101" s="2" t="s">
        <v>160</v>
      </c>
      <c r="B101" s="2">
        <v>2021</v>
      </c>
      <c r="C101" s="3" t="s">
        <v>13</v>
      </c>
      <c r="D101" s="3" t="s">
        <v>14</v>
      </c>
      <c r="E101" s="3" t="s">
        <v>76</v>
      </c>
      <c r="F101" s="2">
        <v>100000</v>
      </c>
      <c r="G101" s="3" t="s">
        <v>22</v>
      </c>
      <c r="H101" s="2">
        <v>100000</v>
      </c>
      <c r="I101" s="2">
        <f>H101*83.12</f>
        <v>8312000</v>
      </c>
      <c r="J101" s="3" t="s">
        <v>35</v>
      </c>
      <c r="K101" s="7">
        <v>100</v>
      </c>
      <c r="L101" s="3" t="s">
        <v>35</v>
      </c>
      <c r="M101" s="3" t="s">
        <v>29</v>
      </c>
      <c r="N101" s="5" t="str">
        <f>IF(K101=0,"Onsite",IF(K101=50,"Hybrid","Remote"))</f>
        <v>Remote</v>
      </c>
      <c r="O101" s="5">
        <f>IF(C101="Entrylevel",1,IF(C101="Intermediate",2,IF(C101="Senior",3,4)))</f>
        <v>2</v>
      </c>
    </row>
    <row r="102" spans="1:15" ht="14.4" x14ac:dyDescent="0.3">
      <c r="A102" s="4" t="s">
        <v>161</v>
      </c>
      <c r="B102" s="4">
        <v>2021</v>
      </c>
      <c r="C102" s="5" t="s">
        <v>13</v>
      </c>
      <c r="D102" s="5" t="s">
        <v>116</v>
      </c>
      <c r="E102" s="5" t="s">
        <v>162</v>
      </c>
      <c r="F102" s="4">
        <v>400000</v>
      </c>
      <c r="G102" s="5" t="s">
        <v>52</v>
      </c>
      <c r="H102" s="4">
        <v>5409</v>
      </c>
      <c r="I102" s="2">
        <f>H102*83.12</f>
        <v>449596.08</v>
      </c>
      <c r="J102" s="5" t="s">
        <v>53</v>
      </c>
      <c r="K102" s="8">
        <v>50</v>
      </c>
      <c r="L102" s="5" t="s">
        <v>53</v>
      </c>
      <c r="M102" s="5" t="s">
        <v>29</v>
      </c>
      <c r="N102" s="5" t="str">
        <f>IF(K102=0,"Onsite",IF(K102=50,"Hybrid","Remote"))</f>
        <v>Hybrid</v>
      </c>
      <c r="O102" s="5">
        <f>IF(C102="Entrylevel",1,IF(C102="Intermediate",2,IF(C102="Senior",3,4)))</f>
        <v>2</v>
      </c>
    </row>
    <row r="103" spans="1:15" ht="14.4" x14ac:dyDescent="0.3">
      <c r="A103" s="2" t="s">
        <v>163</v>
      </c>
      <c r="B103" s="2">
        <v>2021</v>
      </c>
      <c r="C103" s="3" t="s">
        <v>13</v>
      </c>
      <c r="D103" s="3" t="s">
        <v>89</v>
      </c>
      <c r="E103" s="3" t="s">
        <v>117</v>
      </c>
      <c r="F103" s="2">
        <v>270000</v>
      </c>
      <c r="G103" s="3" t="s">
        <v>22</v>
      </c>
      <c r="H103" s="2">
        <v>270000</v>
      </c>
      <c r="I103" s="2">
        <f>H103*83.12</f>
        <v>22442400</v>
      </c>
      <c r="J103" s="3" t="s">
        <v>35</v>
      </c>
      <c r="K103" s="7">
        <v>100</v>
      </c>
      <c r="L103" s="3" t="s">
        <v>35</v>
      </c>
      <c r="M103" s="3" t="s">
        <v>18</v>
      </c>
      <c r="N103" s="5" t="str">
        <f>IF(K103=0,"Onsite",IF(K103=50,"Hybrid","Remote"))</f>
        <v>Remote</v>
      </c>
      <c r="O103" s="5">
        <f>IF(C103="Entrylevel",1,IF(C103="Intermediate",2,IF(C103="Senior",3,4)))</f>
        <v>2</v>
      </c>
    </row>
    <row r="104" spans="1:15" ht="14.4" x14ac:dyDescent="0.3">
      <c r="A104" s="4" t="s">
        <v>167</v>
      </c>
      <c r="B104" s="4">
        <v>2021</v>
      </c>
      <c r="C104" s="5" t="s">
        <v>13</v>
      </c>
      <c r="D104" s="5" t="s">
        <v>14</v>
      </c>
      <c r="E104" s="5" t="s">
        <v>61</v>
      </c>
      <c r="F104" s="4">
        <v>140000</v>
      </c>
      <c r="G104" s="5" t="s">
        <v>22</v>
      </c>
      <c r="H104" s="4">
        <v>140000</v>
      </c>
      <c r="I104" s="2">
        <f>H104*83.12</f>
        <v>11636800</v>
      </c>
      <c r="J104" s="5" t="s">
        <v>35</v>
      </c>
      <c r="K104" s="8">
        <v>100</v>
      </c>
      <c r="L104" s="5" t="s">
        <v>35</v>
      </c>
      <c r="M104" s="5" t="s">
        <v>18</v>
      </c>
      <c r="N104" s="5" t="str">
        <f>IF(K104=0,"Onsite",IF(K104=50,"Hybrid","Remote"))</f>
        <v>Remote</v>
      </c>
      <c r="O104" s="5">
        <f>IF(C104="Entrylevel",1,IF(C104="Intermediate",2,IF(C104="Senior",3,4)))</f>
        <v>2</v>
      </c>
    </row>
    <row r="105" spans="1:15" ht="14.4" x14ac:dyDescent="0.3">
      <c r="A105" s="2" t="s">
        <v>168</v>
      </c>
      <c r="B105" s="2">
        <v>2021</v>
      </c>
      <c r="C105" s="3" t="s">
        <v>13</v>
      </c>
      <c r="D105" s="3" t="s">
        <v>14</v>
      </c>
      <c r="E105" s="3" t="s">
        <v>169</v>
      </c>
      <c r="F105" s="2">
        <v>68000</v>
      </c>
      <c r="G105" s="3" t="s">
        <v>92</v>
      </c>
      <c r="H105" s="2">
        <v>54238</v>
      </c>
      <c r="I105" s="2">
        <f>H105*83.12</f>
        <v>4508262.5600000005</v>
      </c>
      <c r="J105" s="3" t="s">
        <v>28</v>
      </c>
      <c r="K105" s="7">
        <v>50</v>
      </c>
      <c r="L105" s="3" t="s">
        <v>93</v>
      </c>
      <c r="M105" s="3" t="s">
        <v>18</v>
      </c>
      <c r="N105" s="5" t="str">
        <f>IF(K105=0,"Onsite",IF(K105=50,"Hybrid","Remote"))</f>
        <v>Hybrid</v>
      </c>
      <c r="O105" s="5">
        <f>IF(C105="Entrylevel",1,IF(C105="Intermediate",2,IF(C105="Senior",3,4)))</f>
        <v>2</v>
      </c>
    </row>
    <row r="106" spans="1:15" ht="14.4" x14ac:dyDescent="0.3">
      <c r="A106" s="4" t="s">
        <v>170</v>
      </c>
      <c r="B106" s="4">
        <v>2021</v>
      </c>
      <c r="C106" s="5" t="s">
        <v>13</v>
      </c>
      <c r="D106" s="5" t="s">
        <v>14</v>
      </c>
      <c r="E106" s="5" t="s">
        <v>34</v>
      </c>
      <c r="F106" s="4">
        <v>40000</v>
      </c>
      <c r="G106" s="5" t="s">
        <v>16</v>
      </c>
      <c r="H106" s="4">
        <v>47282</v>
      </c>
      <c r="I106" s="2">
        <f>H106*83.12</f>
        <v>3930079.8400000003</v>
      </c>
      <c r="J106" s="5" t="s">
        <v>110</v>
      </c>
      <c r="K106" s="8">
        <v>100</v>
      </c>
      <c r="L106" s="5" t="s">
        <v>110</v>
      </c>
      <c r="M106" s="5" t="s">
        <v>24</v>
      </c>
      <c r="N106" s="5" t="str">
        <f>IF(K106=0,"Onsite",IF(K106=50,"Hybrid","Remote"))</f>
        <v>Remote</v>
      </c>
      <c r="O106" s="5">
        <f>IF(C106="Entrylevel",1,IF(C106="Intermediate",2,IF(C106="Senior",3,4)))</f>
        <v>2</v>
      </c>
    </row>
    <row r="107" spans="1:15" ht="14.4" x14ac:dyDescent="0.3">
      <c r="A107" s="4" t="s">
        <v>172</v>
      </c>
      <c r="B107" s="4">
        <v>2021</v>
      </c>
      <c r="C107" s="5" t="s">
        <v>13</v>
      </c>
      <c r="D107" s="5" t="s">
        <v>14</v>
      </c>
      <c r="E107" s="5" t="s">
        <v>61</v>
      </c>
      <c r="F107" s="4">
        <v>110000</v>
      </c>
      <c r="G107" s="5" t="s">
        <v>173</v>
      </c>
      <c r="H107" s="4">
        <v>28476</v>
      </c>
      <c r="I107" s="2">
        <f>H107*83.12</f>
        <v>2366925.12</v>
      </c>
      <c r="J107" s="5" t="s">
        <v>64</v>
      </c>
      <c r="K107" s="8">
        <v>100</v>
      </c>
      <c r="L107" s="5" t="s">
        <v>64</v>
      </c>
      <c r="M107" s="5" t="s">
        <v>18</v>
      </c>
      <c r="N107" s="5" t="str">
        <f>IF(K107=0,"Onsite",IF(K107=50,"Hybrid","Remote"))</f>
        <v>Remote</v>
      </c>
      <c r="O107" s="5">
        <f>IF(C107="Entrylevel",1,IF(C107="Intermediate",2,IF(C107="Senior",3,4)))</f>
        <v>2</v>
      </c>
    </row>
    <row r="108" spans="1:15" ht="14.4" x14ac:dyDescent="0.3">
      <c r="A108" s="4" t="s">
        <v>175</v>
      </c>
      <c r="B108" s="4">
        <v>2021</v>
      </c>
      <c r="C108" s="5" t="s">
        <v>13</v>
      </c>
      <c r="D108" s="5" t="s">
        <v>14</v>
      </c>
      <c r="E108" s="5" t="s">
        <v>166</v>
      </c>
      <c r="F108" s="4">
        <v>110000</v>
      </c>
      <c r="G108" s="5" t="s">
        <v>22</v>
      </c>
      <c r="H108" s="4">
        <v>110000</v>
      </c>
      <c r="I108" s="2">
        <f>H108*83.12</f>
        <v>9143200</v>
      </c>
      <c r="J108" s="5" t="s">
        <v>35</v>
      </c>
      <c r="K108" s="8">
        <v>100</v>
      </c>
      <c r="L108" s="5" t="s">
        <v>35</v>
      </c>
      <c r="M108" s="5" t="s">
        <v>18</v>
      </c>
      <c r="N108" s="5" t="str">
        <f>IF(K108=0,"Onsite",IF(K108=50,"Hybrid","Remote"))</f>
        <v>Remote</v>
      </c>
      <c r="O108" s="5">
        <f>IF(C108="Entrylevel",1,IF(C108="Intermediate",2,IF(C108="Senior",3,4)))</f>
        <v>2</v>
      </c>
    </row>
    <row r="109" spans="1:15" ht="14.4" x14ac:dyDescent="0.3">
      <c r="A109" s="2" t="s">
        <v>182</v>
      </c>
      <c r="B109" s="2">
        <v>2021</v>
      </c>
      <c r="C109" s="3" t="s">
        <v>13</v>
      </c>
      <c r="D109" s="3" t="s">
        <v>14</v>
      </c>
      <c r="E109" s="3" t="s">
        <v>56</v>
      </c>
      <c r="F109" s="2">
        <v>1450000</v>
      </c>
      <c r="G109" s="3" t="s">
        <v>52</v>
      </c>
      <c r="H109" s="2">
        <v>19609</v>
      </c>
      <c r="I109" s="2">
        <f>H109*83.12</f>
        <v>1629900.08</v>
      </c>
      <c r="J109" s="3" t="s">
        <v>53</v>
      </c>
      <c r="K109" s="7">
        <v>100</v>
      </c>
      <c r="L109" s="3" t="s">
        <v>53</v>
      </c>
      <c r="M109" s="3" t="s">
        <v>18</v>
      </c>
      <c r="N109" s="5" t="str">
        <f>IF(K109=0,"Onsite",IF(K109=50,"Hybrid","Remote"))</f>
        <v>Remote</v>
      </c>
      <c r="O109" s="5">
        <f>IF(C109="Entrylevel",1,IF(C109="Intermediate",2,IF(C109="Senior",3,4)))</f>
        <v>2</v>
      </c>
    </row>
    <row r="110" spans="1:15" ht="14.4" x14ac:dyDescent="0.3">
      <c r="A110" s="4" t="s">
        <v>185</v>
      </c>
      <c r="B110" s="4">
        <v>2021</v>
      </c>
      <c r="C110" s="5" t="s">
        <v>13</v>
      </c>
      <c r="D110" s="5" t="s">
        <v>14</v>
      </c>
      <c r="E110" s="5" t="s">
        <v>186</v>
      </c>
      <c r="F110" s="4">
        <v>120000</v>
      </c>
      <c r="G110" s="5" t="s">
        <v>187</v>
      </c>
      <c r="H110" s="4">
        <v>89294</v>
      </c>
      <c r="I110" s="2">
        <f>H110*83.12</f>
        <v>7422117.2800000003</v>
      </c>
      <c r="J110" s="5" t="s">
        <v>188</v>
      </c>
      <c r="K110" s="8">
        <v>50</v>
      </c>
      <c r="L110" s="5" t="s">
        <v>188</v>
      </c>
      <c r="M110" s="5" t="s">
        <v>18</v>
      </c>
      <c r="N110" s="5" t="str">
        <f>IF(K110=0,"Onsite",IF(K110=50,"Hybrid","Remote"))</f>
        <v>Hybrid</v>
      </c>
      <c r="O110" s="5">
        <f>IF(C110="Entrylevel",1,IF(C110="Intermediate",2,IF(C110="Senior",3,4)))</f>
        <v>2</v>
      </c>
    </row>
    <row r="111" spans="1:15" ht="14.4" x14ac:dyDescent="0.3">
      <c r="A111" s="4" t="s">
        <v>191</v>
      </c>
      <c r="B111" s="4">
        <v>2021</v>
      </c>
      <c r="C111" s="5" t="s">
        <v>13</v>
      </c>
      <c r="D111" s="5" t="s">
        <v>14</v>
      </c>
      <c r="E111" s="5" t="s">
        <v>192</v>
      </c>
      <c r="F111" s="4">
        <v>450000</v>
      </c>
      <c r="G111" s="5" t="s">
        <v>22</v>
      </c>
      <c r="H111" s="4">
        <v>450000</v>
      </c>
      <c r="I111" s="2">
        <f>H111*83.12</f>
        <v>37404000</v>
      </c>
      <c r="J111" s="5" t="s">
        <v>35</v>
      </c>
      <c r="K111" s="8">
        <v>100</v>
      </c>
      <c r="L111" s="5" t="s">
        <v>35</v>
      </c>
      <c r="M111" s="5" t="s">
        <v>18</v>
      </c>
      <c r="N111" s="5" t="str">
        <f>IF(K111=0,"Onsite",IF(K111=50,"Hybrid","Remote"))</f>
        <v>Remote</v>
      </c>
      <c r="O111" s="5">
        <f>IF(C111="Entrylevel",1,IF(C111="Intermediate",2,IF(C111="Senior",3,4)))</f>
        <v>2</v>
      </c>
    </row>
    <row r="112" spans="1:15" ht="14.4" x14ac:dyDescent="0.3">
      <c r="A112" s="4" t="s">
        <v>195</v>
      </c>
      <c r="B112" s="4">
        <v>2021</v>
      </c>
      <c r="C112" s="5" t="s">
        <v>13</v>
      </c>
      <c r="D112" s="5" t="s">
        <v>14</v>
      </c>
      <c r="E112" s="5" t="s">
        <v>194</v>
      </c>
      <c r="F112" s="4">
        <v>81000</v>
      </c>
      <c r="G112" s="5" t="s">
        <v>16</v>
      </c>
      <c r="H112" s="4">
        <v>95746</v>
      </c>
      <c r="I112" s="2">
        <f>H112*83.12</f>
        <v>7958407.5200000005</v>
      </c>
      <c r="J112" s="5" t="s">
        <v>17</v>
      </c>
      <c r="K112" s="8">
        <v>100</v>
      </c>
      <c r="L112" s="5" t="s">
        <v>35</v>
      </c>
      <c r="M112" s="5" t="s">
        <v>24</v>
      </c>
      <c r="N112" s="5" t="str">
        <f>IF(K112=0,"Onsite",IF(K112=50,"Hybrid","Remote"))</f>
        <v>Remote</v>
      </c>
      <c r="O112" s="5">
        <f>IF(C112="Entrylevel",1,IF(C112="Intermediate",2,IF(C112="Senior",3,4)))</f>
        <v>2</v>
      </c>
    </row>
    <row r="113" spans="1:15" ht="14.4" x14ac:dyDescent="0.3">
      <c r="A113" s="2" t="s">
        <v>196</v>
      </c>
      <c r="B113" s="2">
        <v>2021</v>
      </c>
      <c r="C113" s="3" t="s">
        <v>13</v>
      </c>
      <c r="D113" s="3" t="s">
        <v>14</v>
      </c>
      <c r="E113" s="3" t="s">
        <v>38</v>
      </c>
      <c r="F113" s="2">
        <v>75000</v>
      </c>
      <c r="G113" s="3" t="s">
        <v>22</v>
      </c>
      <c r="H113" s="2">
        <v>75000</v>
      </c>
      <c r="I113" s="2">
        <f>H113*83.12</f>
        <v>6234000</v>
      </c>
      <c r="J113" s="3" t="s">
        <v>35</v>
      </c>
      <c r="K113" s="7">
        <v>0</v>
      </c>
      <c r="L113" s="3" t="s">
        <v>35</v>
      </c>
      <c r="M113" s="3" t="s">
        <v>18</v>
      </c>
      <c r="N113" s="5" t="str">
        <f>IF(K113=0,"Onsite",IF(K113=50,"Hybrid","Remote"))</f>
        <v>Onsite</v>
      </c>
      <c r="O113" s="5">
        <f>IF(C113="Entrylevel",1,IF(C113="Intermediate",2,IF(C113="Senior",3,4)))</f>
        <v>2</v>
      </c>
    </row>
    <row r="114" spans="1:15" ht="14.4" x14ac:dyDescent="0.3">
      <c r="A114" s="2" t="s">
        <v>198</v>
      </c>
      <c r="B114" s="2">
        <v>2021</v>
      </c>
      <c r="C114" s="3" t="s">
        <v>13</v>
      </c>
      <c r="D114" s="3" t="s">
        <v>14</v>
      </c>
      <c r="E114" s="3" t="s">
        <v>76</v>
      </c>
      <c r="F114" s="2">
        <v>11000000</v>
      </c>
      <c r="G114" s="3" t="s">
        <v>42</v>
      </c>
      <c r="H114" s="2">
        <v>36259</v>
      </c>
      <c r="I114" s="2">
        <f>H114*83.12</f>
        <v>3013848.08</v>
      </c>
      <c r="J114" s="3" t="s">
        <v>43</v>
      </c>
      <c r="K114" s="7">
        <v>50</v>
      </c>
      <c r="L114" s="3" t="s">
        <v>35</v>
      </c>
      <c r="M114" s="3" t="s">
        <v>18</v>
      </c>
      <c r="N114" s="5" t="str">
        <f>IF(K114=0,"Onsite",IF(K114=50,"Hybrid","Remote"))</f>
        <v>Hybrid</v>
      </c>
      <c r="O114" s="5">
        <f>IF(C114="Entrylevel",1,IF(C114="Intermediate",2,IF(C114="Senior",3,4)))</f>
        <v>2</v>
      </c>
    </row>
    <row r="115" spans="1:15" ht="14.4" x14ac:dyDescent="0.3">
      <c r="A115" s="4" t="s">
        <v>199</v>
      </c>
      <c r="B115" s="4">
        <v>2021</v>
      </c>
      <c r="C115" s="5" t="s">
        <v>13</v>
      </c>
      <c r="D115" s="5" t="s">
        <v>14</v>
      </c>
      <c r="E115" s="5" t="s">
        <v>38</v>
      </c>
      <c r="F115" s="4">
        <v>62000</v>
      </c>
      <c r="G115" s="5" t="s">
        <v>22</v>
      </c>
      <c r="H115" s="4">
        <v>62000</v>
      </c>
      <c r="I115" s="2">
        <f>H115*83.12</f>
        <v>5153440</v>
      </c>
      <c r="J115" s="5" t="s">
        <v>35</v>
      </c>
      <c r="K115" s="8">
        <v>0</v>
      </c>
      <c r="L115" s="5" t="s">
        <v>35</v>
      </c>
      <c r="M115" s="5" t="s">
        <v>18</v>
      </c>
      <c r="N115" s="5" t="str">
        <f>IF(K115=0,"Onsite",IF(K115=50,"Hybrid","Remote"))</f>
        <v>Onsite</v>
      </c>
      <c r="O115" s="5">
        <f>IF(C115="Entrylevel",1,IF(C115="Intermediate",2,IF(C115="Senior",3,4)))</f>
        <v>2</v>
      </c>
    </row>
    <row r="116" spans="1:15" ht="14.4" x14ac:dyDescent="0.3">
      <c r="A116" s="2" t="s">
        <v>200</v>
      </c>
      <c r="B116" s="2">
        <v>2021</v>
      </c>
      <c r="C116" s="3" t="s">
        <v>13</v>
      </c>
      <c r="D116" s="3" t="s">
        <v>14</v>
      </c>
      <c r="E116" s="3" t="s">
        <v>15</v>
      </c>
      <c r="F116" s="2">
        <v>73000</v>
      </c>
      <c r="G116" s="3" t="s">
        <v>22</v>
      </c>
      <c r="H116" s="2">
        <v>73000</v>
      </c>
      <c r="I116" s="2">
        <f>H116*83.12</f>
        <v>6067760</v>
      </c>
      <c r="J116" s="3" t="s">
        <v>35</v>
      </c>
      <c r="K116" s="7">
        <v>0</v>
      </c>
      <c r="L116" s="3" t="s">
        <v>35</v>
      </c>
      <c r="M116" s="3" t="s">
        <v>18</v>
      </c>
      <c r="N116" s="5" t="str">
        <f>IF(K116=0,"Onsite",IF(K116=50,"Hybrid","Remote"))</f>
        <v>Onsite</v>
      </c>
      <c r="O116" s="5">
        <f>IF(C116="Entrylevel",1,IF(C116="Intermediate",2,IF(C116="Senior",3,4)))</f>
        <v>2</v>
      </c>
    </row>
    <row r="117" spans="1:15" ht="14.4" x14ac:dyDescent="0.3">
      <c r="A117" s="4" t="s">
        <v>201</v>
      </c>
      <c r="B117" s="4">
        <v>2021</v>
      </c>
      <c r="C117" s="5" t="s">
        <v>13</v>
      </c>
      <c r="D117" s="5" t="s">
        <v>14</v>
      </c>
      <c r="E117" s="5" t="s">
        <v>38</v>
      </c>
      <c r="F117" s="4">
        <v>37456</v>
      </c>
      <c r="G117" s="5" t="s">
        <v>27</v>
      </c>
      <c r="H117" s="4">
        <v>51519</v>
      </c>
      <c r="I117" s="2">
        <f>H117*83.12</f>
        <v>4282259.28</v>
      </c>
      <c r="J117" s="5" t="s">
        <v>28</v>
      </c>
      <c r="K117" s="8">
        <v>50</v>
      </c>
      <c r="L117" s="5" t="s">
        <v>28</v>
      </c>
      <c r="M117" s="5" t="s">
        <v>18</v>
      </c>
      <c r="N117" s="5" t="str">
        <f>IF(K117=0,"Onsite",IF(K117=50,"Hybrid","Remote"))</f>
        <v>Hybrid</v>
      </c>
      <c r="O117" s="5">
        <f>IF(C117="Entrylevel",1,IF(C117="Intermediate",2,IF(C117="Senior",3,4)))</f>
        <v>2</v>
      </c>
    </row>
    <row r="118" spans="1:15" ht="14.4" x14ac:dyDescent="0.3">
      <c r="A118" s="2" t="s">
        <v>202</v>
      </c>
      <c r="B118" s="2">
        <v>2021</v>
      </c>
      <c r="C118" s="3" t="s">
        <v>13</v>
      </c>
      <c r="D118" s="3" t="s">
        <v>14</v>
      </c>
      <c r="E118" s="3" t="s">
        <v>83</v>
      </c>
      <c r="F118" s="2">
        <v>235000</v>
      </c>
      <c r="G118" s="3" t="s">
        <v>92</v>
      </c>
      <c r="H118" s="2">
        <v>187442</v>
      </c>
      <c r="I118" s="2">
        <f>H118*83.12</f>
        <v>15580179.040000001</v>
      </c>
      <c r="J118" s="3" t="s">
        <v>93</v>
      </c>
      <c r="K118" s="7">
        <v>100</v>
      </c>
      <c r="L118" s="3" t="s">
        <v>93</v>
      </c>
      <c r="M118" s="3" t="s">
        <v>18</v>
      </c>
      <c r="N118" s="5" t="str">
        <f>IF(K118=0,"Onsite",IF(K118=50,"Hybrid","Remote"))</f>
        <v>Remote</v>
      </c>
      <c r="O118" s="5">
        <f>IF(C118="Entrylevel",1,IF(C118="Intermediate",2,IF(C118="Senior",3,4)))</f>
        <v>2</v>
      </c>
    </row>
    <row r="119" spans="1:15" ht="14.4" x14ac:dyDescent="0.3">
      <c r="A119" s="2" t="s">
        <v>211</v>
      </c>
      <c r="B119" s="2">
        <v>2021</v>
      </c>
      <c r="C119" s="3" t="s">
        <v>13</v>
      </c>
      <c r="D119" s="3" t="s">
        <v>14</v>
      </c>
      <c r="E119" s="3" t="s">
        <v>61</v>
      </c>
      <c r="F119" s="2">
        <v>38400</v>
      </c>
      <c r="G119" s="3" t="s">
        <v>16</v>
      </c>
      <c r="H119" s="2">
        <v>45391</v>
      </c>
      <c r="I119" s="2">
        <f>H119*83.12</f>
        <v>3772899.9200000004</v>
      </c>
      <c r="J119" s="3" t="s">
        <v>84</v>
      </c>
      <c r="K119" s="7">
        <v>100</v>
      </c>
      <c r="L119" s="3" t="s">
        <v>84</v>
      </c>
      <c r="M119" s="3" t="s">
        <v>18</v>
      </c>
      <c r="N119" s="5" t="str">
        <f>IF(K119=0,"Onsite",IF(K119=50,"Hybrid","Remote"))</f>
        <v>Remote</v>
      </c>
      <c r="O119" s="5">
        <f>IF(C119="Entrylevel",1,IF(C119="Intermediate",2,IF(C119="Senior",3,4)))</f>
        <v>2</v>
      </c>
    </row>
    <row r="120" spans="1:15" ht="14.4" x14ac:dyDescent="0.3">
      <c r="A120" s="2" t="s">
        <v>213</v>
      </c>
      <c r="B120" s="2">
        <v>2021</v>
      </c>
      <c r="C120" s="3" t="s">
        <v>13</v>
      </c>
      <c r="D120" s="3" t="s">
        <v>14</v>
      </c>
      <c r="E120" s="3" t="s">
        <v>15</v>
      </c>
      <c r="F120" s="2">
        <v>50000</v>
      </c>
      <c r="G120" s="3" t="s">
        <v>22</v>
      </c>
      <c r="H120" s="2">
        <v>50000</v>
      </c>
      <c r="I120" s="2">
        <f>H120*83.12</f>
        <v>4156000</v>
      </c>
      <c r="J120" s="3" t="s">
        <v>105</v>
      </c>
      <c r="K120" s="7">
        <v>100</v>
      </c>
      <c r="L120" s="3" t="s">
        <v>105</v>
      </c>
      <c r="M120" s="3" t="s">
        <v>18</v>
      </c>
      <c r="N120" s="5" t="str">
        <f>IF(K120=0,"Onsite",IF(K120=50,"Hybrid","Remote"))</f>
        <v>Remote</v>
      </c>
      <c r="O120" s="5">
        <f>IF(C120="Entrylevel",1,IF(C120="Intermediate",2,IF(C120="Senior",3,4)))</f>
        <v>2</v>
      </c>
    </row>
    <row r="121" spans="1:15" ht="14.4" x14ac:dyDescent="0.3">
      <c r="A121" s="4" t="s">
        <v>214</v>
      </c>
      <c r="B121" s="4">
        <v>2021</v>
      </c>
      <c r="C121" s="5" t="s">
        <v>13</v>
      </c>
      <c r="D121" s="5" t="s">
        <v>14</v>
      </c>
      <c r="E121" s="5" t="s">
        <v>215</v>
      </c>
      <c r="F121" s="4">
        <v>34000</v>
      </c>
      <c r="G121" s="5" t="s">
        <v>16</v>
      </c>
      <c r="H121" s="4">
        <v>40189</v>
      </c>
      <c r="I121" s="2">
        <f>H121*83.12</f>
        <v>3340509.68</v>
      </c>
      <c r="J121" s="5" t="s">
        <v>74</v>
      </c>
      <c r="K121" s="8">
        <v>100</v>
      </c>
      <c r="L121" s="5" t="s">
        <v>74</v>
      </c>
      <c r="M121" s="5" t="s">
        <v>29</v>
      </c>
      <c r="N121" s="5" t="str">
        <f>IF(K121=0,"Onsite",IF(K121=50,"Hybrid","Remote"))</f>
        <v>Remote</v>
      </c>
      <c r="O121" s="5">
        <f>IF(C121="Entrylevel",1,IF(C121="Intermediate",2,IF(C121="Senior",3,4)))</f>
        <v>2</v>
      </c>
    </row>
    <row r="122" spans="1:15" ht="14.4" x14ac:dyDescent="0.3">
      <c r="A122" s="4" t="s">
        <v>217</v>
      </c>
      <c r="B122" s="4">
        <v>2021</v>
      </c>
      <c r="C122" s="5" t="s">
        <v>13</v>
      </c>
      <c r="D122" s="5" t="s">
        <v>14</v>
      </c>
      <c r="E122" s="5" t="s">
        <v>61</v>
      </c>
      <c r="F122" s="4">
        <v>200000</v>
      </c>
      <c r="G122" s="5" t="s">
        <v>22</v>
      </c>
      <c r="H122" s="4">
        <v>200000</v>
      </c>
      <c r="I122" s="2">
        <f>H122*83.12</f>
        <v>16624000</v>
      </c>
      <c r="J122" s="5" t="s">
        <v>35</v>
      </c>
      <c r="K122" s="8">
        <v>100</v>
      </c>
      <c r="L122" s="5" t="s">
        <v>35</v>
      </c>
      <c r="M122" s="5" t="s">
        <v>18</v>
      </c>
      <c r="N122" s="5" t="str">
        <f>IF(K122=0,"Onsite",IF(K122=50,"Hybrid","Remote"))</f>
        <v>Remote</v>
      </c>
      <c r="O122" s="5">
        <f>IF(C122="Entrylevel",1,IF(C122="Intermediate",2,IF(C122="Senior",3,4)))</f>
        <v>2</v>
      </c>
    </row>
    <row r="123" spans="1:15" ht="14.4" x14ac:dyDescent="0.3">
      <c r="A123" s="2" t="s">
        <v>218</v>
      </c>
      <c r="B123" s="2">
        <v>2021</v>
      </c>
      <c r="C123" s="3" t="s">
        <v>13</v>
      </c>
      <c r="D123" s="3" t="s">
        <v>14</v>
      </c>
      <c r="E123" s="3" t="s">
        <v>26</v>
      </c>
      <c r="F123" s="2">
        <v>60000</v>
      </c>
      <c r="G123" s="3" t="s">
        <v>22</v>
      </c>
      <c r="H123" s="2">
        <v>60000</v>
      </c>
      <c r="I123" s="2">
        <f>H123*83.12</f>
        <v>4987200</v>
      </c>
      <c r="J123" s="3" t="s">
        <v>110</v>
      </c>
      <c r="K123" s="7">
        <v>50</v>
      </c>
      <c r="L123" s="3" t="s">
        <v>219</v>
      </c>
      <c r="M123" s="3" t="s">
        <v>29</v>
      </c>
      <c r="N123" s="5" t="str">
        <f>IF(K123=0,"Onsite",IF(K123=50,"Hybrid","Remote"))</f>
        <v>Hybrid</v>
      </c>
      <c r="O123" s="5">
        <f>IF(C123="Entrylevel",1,IF(C123="Intermediate",2,IF(C123="Senior",3,4)))</f>
        <v>2</v>
      </c>
    </row>
    <row r="124" spans="1:15" ht="14.4" x14ac:dyDescent="0.3">
      <c r="A124" s="4" t="s">
        <v>225</v>
      </c>
      <c r="B124" s="4">
        <v>2021</v>
      </c>
      <c r="C124" s="5" t="s">
        <v>13</v>
      </c>
      <c r="D124" s="5" t="s">
        <v>14</v>
      </c>
      <c r="E124" s="5" t="s">
        <v>134</v>
      </c>
      <c r="F124" s="4">
        <v>151000</v>
      </c>
      <c r="G124" s="5" t="s">
        <v>22</v>
      </c>
      <c r="H124" s="4">
        <v>151000</v>
      </c>
      <c r="I124" s="2">
        <f>H124*83.12</f>
        <v>12551120</v>
      </c>
      <c r="J124" s="5" t="s">
        <v>35</v>
      </c>
      <c r="K124" s="8">
        <v>100</v>
      </c>
      <c r="L124" s="5" t="s">
        <v>35</v>
      </c>
      <c r="M124" s="5" t="s">
        <v>18</v>
      </c>
      <c r="N124" s="5" t="str">
        <f>IF(K124=0,"Onsite",IF(K124=50,"Hybrid","Remote"))</f>
        <v>Remote</v>
      </c>
      <c r="O124" s="5">
        <f>IF(C124="Entrylevel",1,IF(C124="Intermediate",2,IF(C124="Senior",3,4)))</f>
        <v>2</v>
      </c>
    </row>
    <row r="125" spans="1:15" ht="14.4" x14ac:dyDescent="0.3">
      <c r="A125" s="4" t="s">
        <v>227</v>
      </c>
      <c r="B125" s="4">
        <v>2021</v>
      </c>
      <c r="C125" s="5" t="s">
        <v>13</v>
      </c>
      <c r="D125" s="5" t="s">
        <v>14</v>
      </c>
      <c r="E125" s="5" t="s">
        <v>15</v>
      </c>
      <c r="F125" s="4">
        <v>700000</v>
      </c>
      <c r="G125" s="5" t="s">
        <v>52</v>
      </c>
      <c r="H125" s="4">
        <v>9466</v>
      </c>
      <c r="I125" s="2">
        <f>H125*83.12</f>
        <v>786813.92</v>
      </c>
      <c r="J125" s="5" t="s">
        <v>53</v>
      </c>
      <c r="K125" s="8">
        <v>0</v>
      </c>
      <c r="L125" s="5" t="s">
        <v>53</v>
      </c>
      <c r="M125" s="5" t="s">
        <v>24</v>
      </c>
      <c r="N125" s="5" t="str">
        <f>IF(K125=0,"Onsite",IF(K125=50,"Hybrid","Remote"))</f>
        <v>Onsite</v>
      </c>
      <c r="O125" s="5">
        <f>IF(C125="Entrylevel",1,IF(C125="Intermediate",2,IF(C125="Senior",3,4)))</f>
        <v>2</v>
      </c>
    </row>
    <row r="126" spans="1:15" ht="14.4" x14ac:dyDescent="0.3">
      <c r="A126" s="2" t="s">
        <v>234</v>
      </c>
      <c r="B126" s="2">
        <v>2021</v>
      </c>
      <c r="C126" s="3" t="s">
        <v>13</v>
      </c>
      <c r="D126" s="3" t="s">
        <v>14</v>
      </c>
      <c r="E126" s="3" t="s">
        <v>235</v>
      </c>
      <c r="F126" s="2">
        <v>38400</v>
      </c>
      <c r="G126" s="3" t="s">
        <v>22</v>
      </c>
      <c r="H126" s="2">
        <v>38400</v>
      </c>
      <c r="I126" s="2">
        <f>H126*83.12</f>
        <v>3191808</v>
      </c>
      <c r="J126" s="3" t="s">
        <v>236</v>
      </c>
      <c r="K126" s="7">
        <v>100</v>
      </c>
      <c r="L126" s="3" t="s">
        <v>35</v>
      </c>
      <c r="M126" s="3" t="s">
        <v>29</v>
      </c>
      <c r="N126" s="5" t="str">
        <f>IF(K126=0,"Onsite",IF(K126=50,"Hybrid","Remote"))</f>
        <v>Remote</v>
      </c>
      <c r="O126" s="5">
        <f>IF(C126="Entrylevel",1,IF(C126="Intermediate",2,IF(C126="Senior",3,4)))</f>
        <v>2</v>
      </c>
    </row>
    <row r="127" spans="1:15" ht="14.4" x14ac:dyDescent="0.3">
      <c r="A127" s="4" t="s">
        <v>239</v>
      </c>
      <c r="B127" s="4">
        <v>2021</v>
      </c>
      <c r="C127" s="5" t="s">
        <v>13</v>
      </c>
      <c r="D127" s="5" t="s">
        <v>14</v>
      </c>
      <c r="E127" s="5" t="s">
        <v>38</v>
      </c>
      <c r="F127" s="4">
        <v>90000</v>
      </c>
      <c r="G127" s="5" t="s">
        <v>22</v>
      </c>
      <c r="H127" s="4">
        <v>90000</v>
      </c>
      <c r="I127" s="2">
        <f>H127*83.12</f>
        <v>7480800</v>
      </c>
      <c r="J127" s="5" t="s">
        <v>35</v>
      </c>
      <c r="K127" s="8">
        <v>100</v>
      </c>
      <c r="L127" s="5" t="s">
        <v>35</v>
      </c>
      <c r="M127" s="5" t="s">
        <v>29</v>
      </c>
      <c r="N127" s="5" t="str">
        <f>IF(K127=0,"Onsite",IF(K127=50,"Hybrid","Remote"))</f>
        <v>Remote</v>
      </c>
      <c r="O127" s="5">
        <f>IF(C127="Entrylevel",1,IF(C127="Intermediate",2,IF(C127="Senior",3,4)))</f>
        <v>2</v>
      </c>
    </row>
    <row r="128" spans="1:15" ht="14.4" x14ac:dyDescent="0.3">
      <c r="A128" s="2" t="s">
        <v>240</v>
      </c>
      <c r="B128" s="2">
        <v>2021</v>
      </c>
      <c r="C128" s="3" t="s">
        <v>13</v>
      </c>
      <c r="D128" s="3" t="s">
        <v>14</v>
      </c>
      <c r="E128" s="3" t="s">
        <v>117</v>
      </c>
      <c r="F128" s="2">
        <v>7000000</v>
      </c>
      <c r="G128" s="3" t="s">
        <v>62</v>
      </c>
      <c r="H128" s="2">
        <v>63711</v>
      </c>
      <c r="I128" s="2">
        <f>H128*83.12</f>
        <v>5295658.32</v>
      </c>
      <c r="J128" s="3" t="s">
        <v>23</v>
      </c>
      <c r="K128" s="7">
        <v>50</v>
      </c>
      <c r="L128" s="3" t="s">
        <v>23</v>
      </c>
      <c r="M128" s="3" t="s">
        <v>24</v>
      </c>
      <c r="N128" s="5" t="str">
        <f>IF(K128=0,"Onsite",IF(K128=50,"Hybrid","Remote"))</f>
        <v>Hybrid</v>
      </c>
      <c r="O128" s="5">
        <f>IF(C128="Entrylevel",1,IF(C128="Intermediate",2,IF(C128="Senior",3,4)))</f>
        <v>2</v>
      </c>
    </row>
    <row r="129" spans="1:15" ht="14.4" x14ac:dyDescent="0.3">
      <c r="A129" s="4" t="s">
        <v>241</v>
      </c>
      <c r="B129" s="4">
        <v>2021</v>
      </c>
      <c r="C129" s="5" t="s">
        <v>13</v>
      </c>
      <c r="D129" s="5" t="s">
        <v>14</v>
      </c>
      <c r="E129" s="5" t="s">
        <v>117</v>
      </c>
      <c r="F129" s="4">
        <v>8500000</v>
      </c>
      <c r="G129" s="5" t="s">
        <v>62</v>
      </c>
      <c r="H129" s="4">
        <v>77364</v>
      </c>
      <c r="I129" s="2">
        <f>H129*83.12</f>
        <v>6430495.6800000006</v>
      </c>
      <c r="J129" s="5" t="s">
        <v>23</v>
      </c>
      <c r="K129" s="8">
        <v>50</v>
      </c>
      <c r="L129" s="5" t="s">
        <v>23</v>
      </c>
      <c r="M129" s="5" t="s">
        <v>24</v>
      </c>
      <c r="N129" s="5" t="str">
        <f>IF(K129=0,"Onsite",IF(K129=50,"Hybrid","Remote"))</f>
        <v>Hybrid</v>
      </c>
      <c r="O129" s="5">
        <f>IF(C129="Entrylevel",1,IF(C129="Intermediate",2,IF(C129="Senior",3,4)))</f>
        <v>2</v>
      </c>
    </row>
    <row r="130" spans="1:15" ht="14.4" x14ac:dyDescent="0.3">
      <c r="A130" s="2" t="s">
        <v>244</v>
      </c>
      <c r="B130" s="2">
        <v>2021</v>
      </c>
      <c r="C130" s="3" t="s">
        <v>13</v>
      </c>
      <c r="D130" s="3" t="s">
        <v>14</v>
      </c>
      <c r="E130" s="3" t="s">
        <v>38</v>
      </c>
      <c r="F130" s="2">
        <v>135000</v>
      </c>
      <c r="G130" s="3" t="s">
        <v>22</v>
      </c>
      <c r="H130" s="2">
        <v>135000</v>
      </c>
      <c r="I130" s="2">
        <f>H130*83.12</f>
        <v>11221200</v>
      </c>
      <c r="J130" s="3" t="s">
        <v>35</v>
      </c>
      <c r="K130" s="7">
        <v>100</v>
      </c>
      <c r="L130" s="3" t="s">
        <v>35</v>
      </c>
      <c r="M130" s="3" t="s">
        <v>18</v>
      </c>
      <c r="N130" s="5" t="str">
        <f>IF(K130=0,"Onsite",IF(K130=50,"Hybrid","Remote"))</f>
        <v>Remote</v>
      </c>
      <c r="O130" s="5">
        <f>IF(C130="Entrylevel",1,IF(C130="Intermediate",2,IF(C130="Senior",3,4)))</f>
        <v>2</v>
      </c>
    </row>
    <row r="131" spans="1:15" ht="14.4" x14ac:dyDescent="0.3">
      <c r="A131" s="4" t="s">
        <v>247</v>
      </c>
      <c r="B131" s="4">
        <v>2021</v>
      </c>
      <c r="C131" s="5" t="s">
        <v>13</v>
      </c>
      <c r="D131" s="5" t="s">
        <v>14</v>
      </c>
      <c r="E131" s="5" t="s">
        <v>15</v>
      </c>
      <c r="F131" s="4">
        <v>82500</v>
      </c>
      <c r="G131" s="5" t="s">
        <v>22</v>
      </c>
      <c r="H131" s="4">
        <v>82500</v>
      </c>
      <c r="I131" s="2">
        <f>H131*83.12</f>
        <v>6857400</v>
      </c>
      <c r="J131" s="5" t="s">
        <v>35</v>
      </c>
      <c r="K131" s="8">
        <v>100</v>
      </c>
      <c r="L131" s="5" t="s">
        <v>35</v>
      </c>
      <c r="M131" s="5" t="s">
        <v>24</v>
      </c>
      <c r="N131" s="5" t="str">
        <f>IF(K131=0,"Onsite",IF(K131=50,"Hybrid","Remote"))</f>
        <v>Remote</v>
      </c>
      <c r="O131" s="5">
        <f>IF(C131="Entrylevel",1,IF(C131="Intermediate",2,IF(C131="Senior",3,4)))</f>
        <v>2</v>
      </c>
    </row>
    <row r="132" spans="1:15" ht="14.4" x14ac:dyDescent="0.3">
      <c r="A132" s="2" t="s">
        <v>248</v>
      </c>
      <c r="B132" s="2">
        <v>2021</v>
      </c>
      <c r="C132" s="3" t="s">
        <v>13</v>
      </c>
      <c r="D132" s="3" t="s">
        <v>14</v>
      </c>
      <c r="E132" s="3" t="s">
        <v>61</v>
      </c>
      <c r="F132" s="2">
        <v>100000</v>
      </c>
      <c r="G132" s="3" t="s">
        <v>22</v>
      </c>
      <c r="H132" s="2">
        <v>100000</v>
      </c>
      <c r="I132" s="2">
        <f>H132*83.12</f>
        <v>8312000</v>
      </c>
      <c r="J132" s="3" t="s">
        <v>35</v>
      </c>
      <c r="K132" s="7">
        <v>100</v>
      </c>
      <c r="L132" s="3" t="s">
        <v>35</v>
      </c>
      <c r="M132" s="3" t="s">
        <v>18</v>
      </c>
      <c r="N132" s="5" t="str">
        <f>IF(K132=0,"Onsite",IF(K132=50,"Hybrid","Remote"))</f>
        <v>Remote</v>
      </c>
      <c r="O132" s="5">
        <f>IF(C132="Entrylevel",1,IF(C132="Intermediate",2,IF(C132="Senior",3,4)))</f>
        <v>2</v>
      </c>
    </row>
    <row r="133" spans="1:15" ht="14.4" x14ac:dyDescent="0.3">
      <c r="A133" s="2" t="s">
        <v>251</v>
      </c>
      <c r="B133" s="2">
        <v>2021</v>
      </c>
      <c r="C133" s="3" t="s">
        <v>13</v>
      </c>
      <c r="D133" s="3" t="s">
        <v>14</v>
      </c>
      <c r="E133" s="3" t="s">
        <v>83</v>
      </c>
      <c r="F133" s="2">
        <v>53000</v>
      </c>
      <c r="G133" s="3" t="s">
        <v>16</v>
      </c>
      <c r="H133" s="2">
        <v>62649</v>
      </c>
      <c r="I133" s="2">
        <f>H133*83.12</f>
        <v>5207384.88</v>
      </c>
      <c r="J133" s="3" t="s">
        <v>50</v>
      </c>
      <c r="K133" s="7">
        <v>50</v>
      </c>
      <c r="L133" s="3" t="s">
        <v>50</v>
      </c>
      <c r="M133" s="3" t="s">
        <v>29</v>
      </c>
      <c r="N133" s="5" t="str">
        <f>IF(K133=0,"Onsite",IF(K133=50,"Hybrid","Remote"))</f>
        <v>Hybrid</v>
      </c>
      <c r="O133" s="5">
        <f>IF(C133="Entrylevel",1,IF(C133="Intermediate",2,IF(C133="Senior",3,4)))</f>
        <v>2</v>
      </c>
    </row>
    <row r="134" spans="1:15" ht="14.4" x14ac:dyDescent="0.3">
      <c r="A134" s="4" t="s">
        <v>252</v>
      </c>
      <c r="B134" s="4">
        <v>2021</v>
      </c>
      <c r="C134" s="5" t="s">
        <v>13</v>
      </c>
      <c r="D134" s="5" t="s">
        <v>14</v>
      </c>
      <c r="E134" s="5" t="s">
        <v>61</v>
      </c>
      <c r="F134" s="4">
        <v>90000</v>
      </c>
      <c r="G134" s="5" t="s">
        <v>22</v>
      </c>
      <c r="H134" s="4">
        <v>90000</v>
      </c>
      <c r="I134" s="2">
        <f>H134*83.12</f>
        <v>7480800</v>
      </c>
      <c r="J134" s="5" t="s">
        <v>35</v>
      </c>
      <c r="K134" s="8">
        <v>100</v>
      </c>
      <c r="L134" s="5" t="s">
        <v>35</v>
      </c>
      <c r="M134" s="5" t="s">
        <v>18</v>
      </c>
      <c r="N134" s="5" t="str">
        <f>IF(K134=0,"Onsite",IF(K134=50,"Hybrid","Remote"))</f>
        <v>Remote</v>
      </c>
      <c r="O134" s="5">
        <f>IF(C134="Entrylevel",1,IF(C134="Intermediate",2,IF(C134="Senior",3,4)))</f>
        <v>2</v>
      </c>
    </row>
    <row r="135" spans="1:15" ht="14.4" x14ac:dyDescent="0.3">
      <c r="A135" s="4" t="s">
        <v>256</v>
      </c>
      <c r="B135" s="4">
        <v>2021</v>
      </c>
      <c r="C135" s="5" t="s">
        <v>13</v>
      </c>
      <c r="D135" s="5" t="s">
        <v>14</v>
      </c>
      <c r="E135" s="5" t="s">
        <v>15</v>
      </c>
      <c r="F135" s="4">
        <v>150000</v>
      </c>
      <c r="G135" s="5" t="s">
        <v>22</v>
      </c>
      <c r="H135" s="4">
        <v>150000</v>
      </c>
      <c r="I135" s="2">
        <f>H135*83.12</f>
        <v>12468000</v>
      </c>
      <c r="J135" s="5" t="s">
        <v>35</v>
      </c>
      <c r="K135" s="8">
        <v>100</v>
      </c>
      <c r="L135" s="5" t="s">
        <v>35</v>
      </c>
      <c r="M135" s="5" t="s">
        <v>29</v>
      </c>
      <c r="N135" s="5" t="str">
        <f>IF(K135=0,"Onsite",IF(K135=50,"Hybrid","Remote"))</f>
        <v>Remote</v>
      </c>
      <c r="O135" s="5">
        <f>IF(C135="Entrylevel",1,IF(C135="Intermediate",2,IF(C135="Senior",3,4)))</f>
        <v>2</v>
      </c>
    </row>
    <row r="136" spans="1:15" ht="14.4" x14ac:dyDescent="0.3">
      <c r="A136" s="2" t="s">
        <v>257</v>
      </c>
      <c r="B136" s="2">
        <v>2021</v>
      </c>
      <c r="C136" s="3" t="s">
        <v>13</v>
      </c>
      <c r="D136" s="3" t="s">
        <v>14</v>
      </c>
      <c r="E136" s="3" t="s">
        <v>15</v>
      </c>
      <c r="F136" s="2">
        <v>95000</v>
      </c>
      <c r="G136" s="3" t="s">
        <v>92</v>
      </c>
      <c r="H136" s="2">
        <v>75774</v>
      </c>
      <c r="I136" s="2">
        <f>H136*83.12</f>
        <v>6298334.8799999999</v>
      </c>
      <c r="J136" s="3" t="s">
        <v>93</v>
      </c>
      <c r="K136" s="7">
        <v>100</v>
      </c>
      <c r="L136" s="3" t="s">
        <v>93</v>
      </c>
      <c r="M136" s="3" t="s">
        <v>18</v>
      </c>
      <c r="N136" s="5" t="str">
        <f>IF(K136=0,"Onsite",IF(K136=50,"Hybrid","Remote"))</f>
        <v>Remote</v>
      </c>
      <c r="O136" s="5">
        <f>IF(C136="Entrylevel",1,IF(C136="Intermediate",2,IF(C136="Senior",3,4)))</f>
        <v>2</v>
      </c>
    </row>
    <row r="137" spans="1:15" ht="14.4" x14ac:dyDescent="0.3">
      <c r="A137" s="2" t="s">
        <v>262</v>
      </c>
      <c r="B137" s="2">
        <v>2021</v>
      </c>
      <c r="C137" s="3" t="s">
        <v>13</v>
      </c>
      <c r="D137" s="3" t="s">
        <v>14</v>
      </c>
      <c r="E137" s="3" t="s">
        <v>15</v>
      </c>
      <c r="F137" s="2">
        <v>160000</v>
      </c>
      <c r="G137" s="3" t="s">
        <v>187</v>
      </c>
      <c r="H137" s="2">
        <v>119059</v>
      </c>
      <c r="I137" s="2">
        <f>H137*83.12</f>
        <v>9896184.0800000001</v>
      </c>
      <c r="J137" s="3" t="s">
        <v>188</v>
      </c>
      <c r="K137" s="7">
        <v>100</v>
      </c>
      <c r="L137" s="3" t="s">
        <v>263</v>
      </c>
      <c r="M137" s="3" t="s">
        <v>29</v>
      </c>
      <c r="N137" s="5" t="str">
        <f>IF(K137=0,"Onsite",IF(K137=50,"Hybrid","Remote"))</f>
        <v>Remote</v>
      </c>
      <c r="O137" s="5">
        <f>IF(C137="Entrylevel",1,IF(C137="Intermediate",2,IF(C137="Senior",3,4)))</f>
        <v>2</v>
      </c>
    </row>
    <row r="138" spans="1:15" ht="14.4" x14ac:dyDescent="0.3">
      <c r="A138" s="4" t="s">
        <v>264</v>
      </c>
      <c r="B138" s="4">
        <v>2021</v>
      </c>
      <c r="C138" s="5" t="s">
        <v>13</v>
      </c>
      <c r="D138" s="5" t="s">
        <v>14</v>
      </c>
      <c r="E138" s="5" t="s">
        <v>235</v>
      </c>
      <c r="F138" s="4">
        <v>423000</v>
      </c>
      <c r="G138" s="5" t="s">
        <v>22</v>
      </c>
      <c r="H138" s="4">
        <v>423000</v>
      </c>
      <c r="I138" s="2">
        <f>H138*83.12</f>
        <v>35159760</v>
      </c>
      <c r="J138" s="5" t="s">
        <v>35</v>
      </c>
      <c r="K138" s="8">
        <v>50</v>
      </c>
      <c r="L138" s="5" t="s">
        <v>35</v>
      </c>
      <c r="M138" s="5" t="s">
        <v>18</v>
      </c>
      <c r="N138" s="5" t="str">
        <f>IF(K138=0,"Onsite",IF(K138=50,"Hybrid","Remote"))</f>
        <v>Hybrid</v>
      </c>
      <c r="O138" s="5">
        <f>IF(C138="Entrylevel",1,IF(C138="Intermediate",2,IF(C138="Senior",3,4)))</f>
        <v>2</v>
      </c>
    </row>
    <row r="139" spans="1:15" ht="14.4" x14ac:dyDescent="0.3">
      <c r="A139" s="2" t="s">
        <v>271</v>
      </c>
      <c r="B139" s="2">
        <v>2021</v>
      </c>
      <c r="C139" s="3" t="s">
        <v>13</v>
      </c>
      <c r="D139" s="3" t="s">
        <v>14</v>
      </c>
      <c r="E139" s="3" t="s">
        <v>61</v>
      </c>
      <c r="F139" s="2">
        <v>24000</v>
      </c>
      <c r="G139" s="3" t="s">
        <v>16</v>
      </c>
      <c r="H139" s="2">
        <v>28369</v>
      </c>
      <c r="I139" s="2">
        <f>H139*83.12</f>
        <v>2358031.2800000003</v>
      </c>
      <c r="J139" s="3" t="s">
        <v>272</v>
      </c>
      <c r="K139" s="7">
        <v>50</v>
      </c>
      <c r="L139" s="3" t="s">
        <v>272</v>
      </c>
      <c r="M139" s="3" t="s">
        <v>18</v>
      </c>
      <c r="N139" s="5" t="str">
        <f>IF(K139=0,"Onsite",IF(K139=50,"Hybrid","Remote"))</f>
        <v>Hybrid</v>
      </c>
      <c r="O139" s="5">
        <f>IF(C139="Entrylevel",1,IF(C139="Intermediate",2,IF(C139="Senior",3,4)))</f>
        <v>2</v>
      </c>
    </row>
    <row r="140" spans="1:15" ht="14.4" x14ac:dyDescent="0.3">
      <c r="A140" s="4" t="s">
        <v>280</v>
      </c>
      <c r="B140" s="4">
        <v>2021</v>
      </c>
      <c r="C140" s="5" t="s">
        <v>13</v>
      </c>
      <c r="D140" s="5" t="s">
        <v>14</v>
      </c>
      <c r="E140" s="5" t="s">
        <v>281</v>
      </c>
      <c r="F140" s="4">
        <v>150000</v>
      </c>
      <c r="G140" s="5" t="s">
        <v>22</v>
      </c>
      <c r="H140" s="4">
        <v>150000</v>
      </c>
      <c r="I140" s="2">
        <f>H140*83.12</f>
        <v>12468000</v>
      </c>
      <c r="J140" s="5" t="s">
        <v>35</v>
      </c>
      <c r="K140" s="8">
        <v>100</v>
      </c>
      <c r="L140" s="5" t="s">
        <v>35</v>
      </c>
      <c r="M140" s="5" t="s">
        <v>18</v>
      </c>
      <c r="N140" s="5" t="str">
        <f>IF(K140=0,"Onsite",IF(K140=50,"Hybrid","Remote"))</f>
        <v>Remote</v>
      </c>
      <c r="O140" s="5">
        <f>IF(C140="Entrylevel",1,IF(C140="Intermediate",2,IF(C140="Senior",3,4)))</f>
        <v>2</v>
      </c>
    </row>
    <row r="141" spans="1:15" ht="14.4" x14ac:dyDescent="0.3">
      <c r="A141" s="2" t="s">
        <v>282</v>
      </c>
      <c r="B141" s="2">
        <v>2021</v>
      </c>
      <c r="C141" s="3" t="s">
        <v>13</v>
      </c>
      <c r="D141" s="3" t="s">
        <v>14</v>
      </c>
      <c r="E141" s="3" t="s">
        <v>281</v>
      </c>
      <c r="F141" s="2">
        <v>170000</v>
      </c>
      <c r="G141" s="3" t="s">
        <v>22</v>
      </c>
      <c r="H141" s="2">
        <v>170000</v>
      </c>
      <c r="I141" s="2">
        <f>H141*83.12</f>
        <v>14130400</v>
      </c>
      <c r="J141" s="3" t="s">
        <v>35</v>
      </c>
      <c r="K141" s="7">
        <v>100</v>
      </c>
      <c r="L141" s="3" t="s">
        <v>35</v>
      </c>
      <c r="M141" s="3" t="s">
        <v>18</v>
      </c>
      <c r="N141" s="5" t="str">
        <f>IF(K141=0,"Onsite",IF(K141=50,"Hybrid","Remote"))</f>
        <v>Remote</v>
      </c>
      <c r="O141" s="5">
        <f>IF(C141="Entrylevel",1,IF(C141="Intermediate",2,IF(C141="Senior",3,4)))</f>
        <v>2</v>
      </c>
    </row>
    <row r="142" spans="1:15" ht="14.4" x14ac:dyDescent="0.3">
      <c r="A142" s="4" t="s">
        <v>283</v>
      </c>
      <c r="B142" s="4">
        <v>2021</v>
      </c>
      <c r="C142" s="5" t="s">
        <v>13</v>
      </c>
      <c r="D142" s="5" t="s">
        <v>14</v>
      </c>
      <c r="E142" s="5" t="s">
        <v>61</v>
      </c>
      <c r="F142" s="4">
        <v>60000</v>
      </c>
      <c r="G142" s="5" t="s">
        <v>27</v>
      </c>
      <c r="H142" s="4">
        <v>82528</v>
      </c>
      <c r="I142" s="2">
        <f>H142*83.12</f>
        <v>6859727.3600000003</v>
      </c>
      <c r="J142" s="5" t="s">
        <v>28</v>
      </c>
      <c r="K142" s="8">
        <v>100</v>
      </c>
      <c r="L142" s="5" t="s">
        <v>28</v>
      </c>
      <c r="M142" s="5" t="s">
        <v>18</v>
      </c>
      <c r="N142" s="5" t="str">
        <f>IF(K142=0,"Onsite",IF(K142=50,"Hybrid","Remote"))</f>
        <v>Remote</v>
      </c>
      <c r="O142" s="5">
        <f>IF(C142="Entrylevel",1,IF(C142="Intermediate",2,IF(C142="Senior",3,4)))</f>
        <v>2</v>
      </c>
    </row>
    <row r="143" spans="1:15" ht="14.4" x14ac:dyDescent="0.3">
      <c r="A143" s="2" t="s">
        <v>288</v>
      </c>
      <c r="B143" s="2">
        <v>2021</v>
      </c>
      <c r="C143" s="3" t="s">
        <v>13</v>
      </c>
      <c r="D143" s="3" t="s">
        <v>14</v>
      </c>
      <c r="E143" s="3" t="s">
        <v>15</v>
      </c>
      <c r="F143" s="2">
        <v>58000</v>
      </c>
      <c r="G143" s="3" t="s">
        <v>86</v>
      </c>
      <c r="H143" s="2">
        <v>2859</v>
      </c>
      <c r="I143" s="2">
        <f>H143*83.12</f>
        <v>237640.08000000002</v>
      </c>
      <c r="J143" s="3" t="s">
        <v>87</v>
      </c>
      <c r="K143" s="7">
        <v>0</v>
      </c>
      <c r="L143" s="3" t="s">
        <v>87</v>
      </c>
      <c r="M143" s="3" t="s">
        <v>24</v>
      </c>
      <c r="N143" s="5" t="str">
        <f>IF(K143=0,"Onsite",IF(K143=50,"Hybrid","Remote"))</f>
        <v>Onsite</v>
      </c>
      <c r="O143" s="5">
        <f>IF(C143="Entrylevel",1,IF(C143="Intermediate",2,IF(C143="Senior",3,4)))</f>
        <v>2</v>
      </c>
    </row>
    <row r="144" spans="1:15" ht="14.4" x14ac:dyDescent="0.3">
      <c r="A144" s="4" t="s">
        <v>289</v>
      </c>
      <c r="B144" s="4">
        <v>2021</v>
      </c>
      <c r="C144" s="5" t="s">
        <v>13</v>
      </c>
      <c r="D144" s="5" t="s">
        <v>14</v>
      </c>
      <c r="E144" s="5" t="s">
        <v>15</v>
      </c>
      <c r="F144" s="4">
        <v>30400000</v>
      </c>
      <c r="G144" s="5" t="s">
        <v>290</v>
      </c>
      <c r="H144" s="4">
        <v>40038</v>
      </c>
      <c r="I144" s="2">
        <f>H144*83.12</f>
        <v>3327958.56</v>
      </c>
      <c r="J144" s="5" t="s">
        <v>291</v>
      </c>
      <c r="K144" s="8">
        <v>100</v>
      </c>
      <c r="L144" s="5" t="s">
        <v>291</v>
      </c>
      <c r="M144" s="5" t="s">
        <v>18</v>
      </c>
      <c r="N144" s="5" t="str">
        <f>IF(K144=0,"Onsite",IF(K144=50,"Hybrid","Remote"))</f>
        <v>Remote</v>
      </c>
      <c r="O144" s="5">
        <f>IF(C144="Entrylevel",1,IF(C144="Intermediate",2,IF(C144="Senior",3,4)))</f>
        <v>2</v>
      </c>
    </row>
    <row r="145" spans="1:15" ht="14.4" x14ac:dyDescent="0.3">
      <c r="A145" s="4" t="s">
        <v>293</v>
      </c>
      <c r="B145" s="4">
        <v>2021</v>
      </c>
      <c r="C145" s="5" t="s">
        <v>13</v>
      </c>
      <c r="D145" s="5" t="s">
        <v>14</v>
      </c>
      <c r="E145" s="5" t="s">
        <v>15</v>
      </c>
      <c r="F145" s="4">
        <v>420000</v>
      </c>
      <c r="G145" s="5" t="s">
        <v>52</v>
      </c>
      <c r="H145" s="4">
        <v>5679</v>
      </c>
      <c r="I145" s="2">
        <f>H145*83.12</f>
        <v>472038.48000000004</v>
      </c>
      <c r="J145" s="5" t="s">
        <v>53</v>
      </c>
      <c r="K145" s="8">
        <v>100</v>
      </c>
      <c r="L145" s="5" t="s">
        <v>35</v>
      </c>
      <c r="M145" s="5" t="s">
        <v>24</v>
      </c>
      <c r="N145" s="5" t="str">
        <f>IF(K145=0,"Onsite",IF(K145=50,"Hybrid","Remote"))</f>
        <v>Remote</v>
      </c>
      <c r="O145" s="5">
        <f>IF(C145="Entrylevel",1,IF(C145="Intermediate",2,IF(C145="Senior",3,4)))</f>
        <v>2</v>
      </c>
    </row>
    <row r="146" spans="1:15" ht="14.4" x14ac:dyDescent="0.3">
      <c r="A146" s="2" t="s">
        <v>294</v>
      </c>
      <c r="B146" s="2">
        <v>2021</v>
      </c>
      <c r="C146" s="3" t="s">
        <v>13</v>
      </c>
      <c r="D146" s="3" t="s">
        <v>14</v>
      </c>
      <c r="E146" s="3" t="s">
        <v>26</v>
      </c>
      <c r="F146" s="2">
        <v>1672000</v>
      </c>
      <c r="G146" s="3" t="s">
        <v>52</v>
      </c>
      <c r="H146" s="2">
        <v>22611</v>
      </c>
      <c r="I146" s="2">
        <f>H146*83.12</f>
        <v>1879426.32</v>
      </c>
      <c r="J146" s="3" t="s">
        <v>53</v>
      </c>
      <c r="K146" s="7">
        <v>0</v>
      </c>
      <c r="L146" s="3" t="s">
        <v>53</v>
      </c>
      <c r="M146" s="3" t="s">
        <v>18</v>
      </c>
      <c r="N146" s="5" t="str">
        <f>IF(K146=0,"Onsite",IF(K146=50,"Hybrid","Remote"))</f>
        <v>Onsite</v>
      </c>
      <c r="O146" s="5">
        <f>IF(C146="Entrylevel",1,IF(C146="Intermediate",2,IF(C146="Senior",3,4)))</f>
        <v>2</v>
      </c>
    </row>
    <row r="147" spans="1:15" ht="14.4" x14ac:dyDescent="0.3">
      <c r="A147" s="4" t="s">
        <v>295</v>
      </c>
      <c r="B147" s="4">
        <v>2021</v>
      </c>
      <c r="C147" s="5" t="s">
        <v>13</v>
      </c>
      <c r="D147" s="5" t="s">
        <v>14</v>
      </c>
      <c r="E147" s="5" t="s">
        <v>15</v>
      </c>
      <c r="F147" s="4">
        <v>76760</v>
      </c>
      <c r="G147" s="5" t="s">
        <v>16</v>
      </c>
      <c r="H147" s="4">
        <v>90734</v>
      </c>
      <c r="I147" s="2">
        <f>H147*83.12</f>
        <v>7541810.0800000001</v>
      </c>
      <c r="J147" s="5" t="s">
        <v>17</v>
      </c>
      <c r="K147" s="8">
        <v>50</v>
      </c>
      <c r="L147" s="5" t="s">
        <v>17</v>
      </c>
      <c r="M147" s="5" t="s">
        <v>18</v>
      </c>
      <c r="N147" s="5" t="str">
        <f>IF(K147=0,"Onsite",IF(K147=50,"Hybrid","Remote"))</f>
        <v>Hybrid</v>
      </c>
      <c r="O147" s="5">
        <f>IF(C147="Entrylevel",1,IF(C147="Intermediate",2,IF(C147="Senior",3,4)))</f>
        <v>2</v>
      </c>
    </row>
    <row r="148" spans="1:15" ht="14.4" x14ac:dyDescent="0.3">
      <c r="A148" s="2" t="s">
        <v>296</v>
      </c>
      <c r="B148" s="2">
        <v>2021</v>
      </c>
      <c r="C148" s="3" t="s">
        <v>13</v>
      </c>
      <c r="D148" s="3" t="s">
        <v>14</v>
      </c>
      <c r="E148" s="3" t="s">
        <v>61</v>
      </c>
      <c r="F148" s="2">
        <v>22000</v>
      </c>
      <c r="G148" s="3" t="s">
        <v>16</v>
      </c>
      <c r="H148" s="2">
        <v>26005</v>
      </c>
      <c r="I148" s="2">
        <f>H148*83.12</f>
        <v>2161535.6</v>
      </c>
      <c r="J148" s="3" t="s">
        <v>219</v>
      </c>
      <c r="K148" s="7">
        <v>0</v>
      </c>
      <c r="L148" s="3" t="s">
        <v>35</v>
      </c>
      <c r="M148" s="3" t="s">
        <v>18</v>
      </c>
      <c r="N148" s="5" t="str">
        <f>IF(K148=0,"Onsite",IF(K148=50,"Hybrid","Remote"))</f>
        <v>Onsite</v>
      </c>
      <c r="O148" s="5">
        <f>IF(C148="Entrylevel",1,IF(C148="Intermediate",2,IF(C148="Senior",3,4)))</f>
        <v>2</v>
      </c>
    </row>
    <row r="149" spans="1:15" ht="14.4" x14ac:dyDescent="0.3">
      <c r="A149" s="2" t="s">
        <v>299</v>
      </c>
      <c r="B149" s="2">
        <v>2021</v>
      </c>
      <c r="C149" s="3" t="s">
        <v>13</v>
      </c>
      <c r="D149" s="3" t="s">
        <v>130</v>
      </c>
      <c r="E149" s="3" t="s">
        <v>21</v>
      </c>
      <c r="F149" s="2">
        <v>12000</v>
      </c>
      <c r="G149" s="3" t="s">
        <v>22</v>
      </c>
      <c r="H149" s="2">
        <v>12000</v>
      </c>
      <c r="I149" s="2">
        <f>H149*83.12</f>
        <v>997440</v>
      </c>
      <c r="J149" s="3" t="s">
        <v>59</v>
      </c>
      <c r="K149" s="7">
        <v>50</v>
      </c>
      <c r="L149" s="3" t="s">
        <v>59</v>
      </c>
      <c r="M149" s="3" t="s">
        <v>29</v>
      </c>
      <c r="N149" s="5" t="str">
        <f>IF(K149=0,"Onsite",IF(K149=50,"Hybrid","Remote"))</f>
        <v>Hybrid</v>
      </c>
      <c r="O149" s="5">
        <f>IF(C149="Entrylevel",1,IF(C149="Intermediate",2,IF(C149="Senior",3,4)))</f>
        <v>2</v>
      </c>
    </row>
    <row r="150" spans="1:15" ht="14.4" x14ac:dyDescent="0.3">
      <c r="A150" s="4" t="s">
        <v>300</v>
      </c>
      <c r="B150" s="4">
        <v>2021</v>
      </c>
      <c r="C150" s="5" t="s">
        <v>13</v>
      </c>
      <c r="D150" s="5" t="s">
        <v>14</v>
      </c>
      <c r="E150" s="5" t="s">
        <v>61</v>
      </c>
      <c r="F150" s="4">
        <v>4000</v>
      </c>
      <c r="G150" s="5" t="s">
        <v>22</v>
      </c>
      <c r="H150" s="4">
        <v>4000</v>
      </c>
      <c r="I150" s="2">
        <f>H150*83.12</f>
        <v>332480</v>
      </c>
      <c r="J150" s="5" t="s">
        <v>301</v>
      </c>
      <c r="K150" s="8">
        <v>100</v>
      </c>
      <c r="L150" s="5" t="s">
        <v>301</v>
      </c>
      <c r="M150" s="5" t="s">
        <v>29</v>
      </c>
      <c r="N150" s="5" t="str">
        <f>IF(K150=0,"Onsite",IF(K150=50,"Hybrid","Remote"))</f>
        <v>Remote</v>
      </c>
      <c r="O150" s="5">
        <f>IF(C150="Entrylevel",1,IF(C150="Intermediate",2,IF(C150="Senior",3,4)))</f>
        <v>2</v>
      </c>
    </row>
    <row r="151" spans="1:15" ht="14.4" x14ac:dyDescent="0.3">
      <c r="A151" s="4" t="s">
        <v>305</v>
      </c>
      <c r="B151" s="4">
        <v>2021</v>
      </c>
      <c r="C151" s="5" t="s">
        <v>13</v>
      </c>
      <c r="D151" s="5" t="s">
        <v>14</v>
      </c>
      <c r="E151" s="5" t="s">
        <v>34</v>
      </c>
      <c r="F151" s="4">
        <v>74000</v>
      </c>
      <c r="G151" s="5" t="s">
        <v>22</v>
      </c>
      <c r="H151" s="4">
        <v>74000</v>
      </c>
      <c r="I151" s="2">
        <f>H151*83.12</f>
        <v>6150880</v>
      </c>
      <c r="J151" s="5" t="s">
        <v>23</v>
      </c>
      <c r="K151" s="8">
        <v>50</v>
      </c>
      <c r="L151" s="5" t="s">
        <v>23</v>
      </c>
      <c r="M151" s="5" t="s">
        <v>24</v>
      </c>
      <c r="N151" s="5" t="str">
        <f>IF(K151=0,"Onsite",IF(K151=50,"Hybrid","Remote"))</f>
        <v>Hybrid</v>
      </c>
      <c r="O151" s="5">
        <f>IF(C151="Entrylevel",1,IF(C151="Intermediate",2,IF(C151="Senior",3,4)))</f>
        <v>2</v>
      </c>
    </row>
    <row r="152" spans="1:15" ht="14.4" x14ac:dyDescent="0.3">
      <c r="A152" s="2" t="s">
        <v>309</v>
      </c>
      <c r="B152" s="2">
        <v>2021</v>
      </c>
      <c r="C152" s="3" t="s">
        <v>13</v>
      </c>
      <c r="D152" s="3" t="s">
        <v>14</v>
      </c>
      <c r="E152" s="3" t="s">
        <v>26</v>
      </c>
      <c r="F152" s="2">
        <v>18000</v>
      </c>
      <c r="G152" s="3" t="s">
        <v>22</v>
      </c>
      <c r="H152" s="2">
        <v>18000</v>
      </c>
      <c r="I152" s="2">
        <f>H152*83.12</f>
        <v>1496160</v>
      </c>
      <c r="J152" s="3" t="s">
        <v>310</v>
      </c>
      <c r="K152" s="7">
        <v>0</v>
      </c>
      <c r="L152" s="3" t="s">
        <v>310</v>
      </c>
      <c r="M152" s="3" t="s">
        <v>24</v>
      </c>
      <c r="N152" s="5" t="str">
        <f>IF(K152=0,"Onsite",IF(K152=50,"Hybrid","Remote"))</f>
        <v>Onsite</v>
      </c>
      <c r="O152" s="5">
        <f>IF(C152="Entrylevel",1,IF(C152="Intermediate",2,IF(C152="Senior",3,4)))</f>
        <v>2</v>
      </c>
    </row>
    <row r="153" spans="1:15" ht="14.4" x14ac:dyDescent="0.3">
      <c r="A153" s="4" t="s">
        <v>313</v>
      </c>
      <c r="B153" s="4">
        <v>2021</v>
      </c>
      <c r="C153" s="5" t="s">
        <v>13</v>
      </c>
      <c r="D153" s="5" t="s">
        <v>14</v>
      </c>
      <c r="E153" s="5" t="s">
        <v>15</v>
      </c>
      <c r="F153" s="4">
        <v>147000</v>
      </c>
      <c r="G153" s="5" t="s">
        <v>22</v>
      </c>
      <c r="H153" s="4">
        <v>147000</v>
      </c>
      <c r="I153" s="2">
        <f>H153*83.12</f>
        <v>12218640</v>
      </c>
      <c r="J153" s="5" t="s">
        <v>35</v>
      </c>
      <c r="K153" s="8">
        <v>50</v>
      </c>
      <c r="L153" s="5" t="s">
        <v>35</v>
      </c>
      <c r="M153" s="5" t="s">
        <v>18</v>
      </c>
      <c r="N153" s="5" t="str">
        <f>IF(K153=0,"Onsite",IF(K153=50,"Hybrid","Remote"))</f>
        <v>Hybrid</v>
      </c>
      <c r="O153" s="5">
        <f>IF(C153="Entrylevel",1,IF(C153="Intermediate",2,IF(C153="Senior",3,4)))</f>
        <v>2</v>
      </c>
    </row>
    <row r="154" spans="1:15" ht="14.4" x14ac:dyDescent="0.3">
      <c r="A154" s="2" t="s">
        <v>319</v>
      </c>
      <c r="B154" s="2">
        <v>2021</v>
      </c>
      <c r="C154" s="3" t="s">
        <v>13</v>
      </c>
      <c r="D154" s="3" t="s">
        <v>14</v>
      </c>
      <c r="E154" s="3" t="s">
        <v>15</v>
      </c>
      <c r="F154" s="2">
        <v>52000</v>
      </c>
      <c r="G154" s="3" t="s">
        <v>16</v>
      </c>
      <c r="H154" s="2">
        <v>61467</v>
      </c>
      <c r="I154" s="2">
        <f>H154*83.12</f>
        <v>5109137.04</v>
      </c>
      <c r="J154" s="3" t="s">
        <v>17</v>
      </c>
      <c r="K154" s="7">
        <v>50</v>
      </c>
      <c r="L154" s="3" t="s">
        <v>101</v>
      </c>
      <c r="M154" s="3" t="s">
        <v>29</v>
      </c>
      <c r="N154" s="5" t="str">
        <f>IF(K154=0,"Onsite",IF(K154=50,"Hybrid","Remote"))</f>
        <v>Hybrid</v>
      </c>
      <c r="O154" s="5">
        <f>IF(C154="Entrylevel",1,IF(C154="Intermediate",2,IF(C154="Senior",3,4)))</f>
        <v>2</v>
      </c>
    </row>
    <row r="155" spans="1:15" ht="14.4" x14ac:dyDescent="0.3">
      <c r="A155" s="2" t="s">
        <v>321</v>
      </c>
      <c r="B155" s="2">
        <v>2021</v>
      </c>
      <c r="C155" s="3" t="s">
        <v>13</v>
      </c>
      <c r="D155" s="3" t="s">
        <v>14</v>
      </c>
      <c r="E155" s="3" t="s">
        <v>15</v>
      </c>
      <c r="F155" s="2">
        <v>32000</v>
      </c>
      <c r="G155" s="3" t="s">
        <v>16</v>
      </c>
      <c r="H155" s="2">
        <v>37825</v>
      </c>
      <c r="I155" s="2">
        <f>H155*83.12</f>
        <v>3144014</v>
      </c>
      <c r="J155" s="3" t="s">
        <v>110</v>
      </c>
      <c r="K155" s="7">
        <v>100</v>
      </c>
      <c r="L155" s="3" t="s">
        <v>110</v>
      </c>
      <c r="M155" s="3" t="s">
        <v>18</v>
      </c>
      <c r="N155" s="5" t="str">
        <f>IF(K155=0,"Onsite",IF(K155=50,"Hybrid","Remote"))</f>
        <v>Remote</v>
      </c>
      <c r="O155" s="5">
        <f>IF(C155="Entrylevel",1,IF(C155="Intermediate",2,IF(C155="Senior",3,4)))</f>
        <v>2</v>
      </c>
    </row>
    <row r="156" spans="1:15" ht="14.4" x14ac:dyDescent="0.3">
      <c r="A156" s="2" t="s">
        <v>323</v>
      </c>
      <c r="B156" s="2">
        <v>2021</v>
      </c>
      <c r="C156" s="3" t="s">
        <v>13</v>
      </c>
      <c r="D156" s="3" t="s">
        <v>14</v>
      </c>
      <c r="E156" s="3" t="s">
        <v>15</v>
      </c>
      <c r="F156" s="2">
        <v>160000</v>
      </c>
      <c r="G156" s="3" t="s">
        <v>22</v>
      </c>
      <c r="H156" s="2">
        <v>160000</v>
      </c>
      <c r="I156" s="2">
        <f>H156*83.12</f>
        <v>13299200</v>
      </c>
      <c r="J156" s="3" t="s">
        <v>35</v>
      </c>
      <c r="K156" s="7">
        <v>100</v>
      </c>
      <c r="L156" s="3" t="s">
        <v>35</v>
      </c>
      <c r="M156" s="3" t="s">
        <v>18</v>
      </c>
      <c r="N156" s="5" t="str">
        <f>IF(K156=0,"Onsite",IF(K156=50,"Hybrid","Remote"))</f>
        <v>Remote</v>
      </c>
      <c r="O156" s="5">
        <f>IF(C156="Entrylevel",1,IF(C156="Intermediate",2,IF(C156="Senior",3,4)))</f>
        <v>2</v>
      </c>
    </row>
    <row r="157" spans="1:15" ht="14.4" x14ac:dyDescent="0.3">
      <c r="A157" s="4" t="s">
        <v>324</v>
      </c>
      <c r="B157" s="4">
        <v>2021</v>
      </c>
      <c r="C157" s="5" t="s">
        <v>13</v>
      </c>
      <c r="D157" s="5" t="s">
        <v>14</v>
      </c>
      <c r="E157" s="5" t="s">
        <v>15</v>
      </c>
      <c r="F157" s="4">
        <v>69600</v>
      </c>
      <c r="G157" s="5" t="s">
        <v>325</v>
      </c>
      <c r="H157" s="4">
        <v>12901</v>
      </c>
      <c r="I157" s="2">
        <f>H157*83.12</f>
        <v>1072331.1200000001</v>
      </c>
      <c r="J157" s="5" t="s">
        <v>190</v>
      </c>
      <c r="K157" s="8">
        <v>0</v>
      </c>
      <c r="L157" s="5" t="s">
        <v>190</v>
      </c>
      <c r="M157" s="5" t="s">
        <v>24</v>
      </c>
      <c r="N157" s="5" t="str">
        <f>IF(K157=0,"Onsite",IF(K157=50,"Hybrid","Remote"))</f>
        <v>Onsite</v>
      </c>
      <c r="O157" s="5">
        <f>IF(C157="Entrylevel",1,IF(C157="Intermediate",2,IF(C157="Senior",3,4)))</f>
        <v>2</v>
      </c>
    </row>
    <row r="158" spans="1:15" ht="14.4" x14ac:dyDescent="0.3">
      <c r="A158" s="2" t="s">
        <v>328</v>
      </c>
      <c r="B158" s="2">
        <v>2021</v>
      </c>
      <c r="C158" s="3" t="s">
        <v>13</v>
      </c>
      <c r="D158" s="3" t="s">
        <v>130</v>
      </c>
      <c r="E158" s="3" t="s">
        <v>61</v>
      </c>
      <c r="F158" s="2">
        <v>20000</v>
      </c>
      <c r="G158" s="3" t="s">
        <v>22</v>
      </c>
      <c r="H158" s="2">
        <v>20000</v>
      </c>
      <c r="I158" s="2">
        <f>H158*83.12</f>
        <v>1662400</v>
      </c>
      <c r="J158" s="3" t="s">
        <v>142</v>
      </c>
      <c r="K158" s="7">
        <v>0</v>
      </c>
      <c r="L158" s="3" t="s">
        <v>35</v>
      </c>
      <c r="M158" s="3" t="s">
        <v>18</v>
      </c>
      <c r="N158" s="5" t="str">
        <f>IF(K158=0,"Onsite",IF(K158=50,"Hybrid","Remote"))</f>
        <v>Onsite</v>
      </c>
      <c r="O158" s="5">
        <f>IF(C158="Entrylevel",1,IF(C158="Intermediate",2,IF(C158="Senior",3,4)))</f>
        <v>2</v>
      </c>
    </row>
    <row r="159" spans="1:15" ht="14.4" x14ac:dyDescent="0.3">
      <c r="A159" s="2" t="s">
        <v>330</v>
      </c>
      <c r="B159" s="2">
        <v>2021</v>
      </c>
      <c r="C159" s="3" t="s">
        <v>13</v>
      </c>
      <c r="D159" s="3" t="s">
        <v>14</v>
      </c>
      <c r="E159" s="3" t="s">
        <v>34</v>
      </c>
      <c r="F159" s="2">
        <v>21000</v>
      </c>
      <c r="G159" s="3" t="s">
        <v>16</v>
      </c>
      <c r="H159" s="2">
        <v>24823</v>
      </c>
      <c r="I159" s="2">
        <f>H159*83.12</f>
        <v>2063287.76</v>
      </c>
      <c r="J159" s="3" t="s">
        <v>331</v>
      </c>
      <c r="K159" s="7">
        <v>50</v>
      </c>
      <c r="L159" s="3" t="s">
        <v>331</v>
      </c>
      <c r="M159" s="3" t="s">
        <v>18</v>
      </c>
      <c r="N159" s="5" t="str">
        <f>IF(K159=0,"Onsite",IF(K159=50,"Hybrid","Remote"))</f>
        <v>Hybrid</v>
      </c>
      <c r="O159" s="5">
        <f>IF(C159="Entrylevel",1,IF(C159="Intermediate",2,IF(C159="Senior",3,4)))</f>
        <v>2</v>
      </c>
    </row>
    <row r="160" spans="1:15" ht="14.4" x14ac:dyDescent="0.3">
      <c r="A160" s="4" t="s">
        <v>332</v>
      </c>
      <c r="B160" s="4">
        <v>2021</v>
      </c>
      <c r="C160" s="5" t="s">
        <v>13</v>
      </c>
      <c r="D160" s="5" t="s">
        <v>14</v>
      </c>
      <c r="E160" s="5" t="s">
        <v>83</v>
      </c>
      <c r="F160" s="4">
        <v>48000</v>
      </c>
      <c r="G160" s="5" t="s">
        <v>16</v>
      </c>
      <c r="H160" s="4">
        <v>56738</v>
      </c>
      <c r="I160" s="2">
        <f>H160*83.12</f>
        <v>4716062.5600000005</v>
      </c>
      <c r="J160" s="5" t="s">
        <v>50</v>
      </c>
      <c r="K160" s="8">
        <v>50</v>
      </c>
      <c r="L160" s="5" t="s">
        <v>50</v>
      </c>
      <c r="M160" s="5" t="s">
        <v>24</v>
      </c>
      <c r="N160" s="5" t="str">
        <f>IF(K160=0,"Onsite",IF(K160=50,"Hybrid","Remote"))</f>
        <v>Hybrid</v>
      </c>
      <c r="O160" s="5">
        <f>IF(C160="Entrylevel",1,IF(C160="Intermediate",2,IF(C160="Senior",3,4)))</f>
        <v>2</v>
      </c>
    </row>
    <row r="161" spans="1:15" ht="14.4" x14ac:dyDescent="0.3">
      <c r="A161" s="2" t="s">
        <v>333</v>
      </c>
      <c r="B161" s="2">
        <v>2021</v>
      </c>
      <c r="C161" s="3" t="s">
        <v>13</v>
      </c>
      <c r="D161" s="3" t="s">
        <v>14</v>
      </c>
      <c r="E161" s="3" t="s">
        <v>61</v>
      </c>
      <c r="F161" s="2">
        <v>48000</v>
      </c>
      <c r="G161" s="3" t="s">
        <v>27</v>
      </c>
      <c r="H161" s="2">
        <v>66022</v>
      </c>
      <c r="I161" s="2">
        <f>H161*83.12</f>
        <v>5487748.6400000006</v>
      </c>
      <c r="J161" s="3" t="s">
        <v>334</v>
      </c>
      <c r="K161" s="7">
        <v>50</v>
      </c>
      <c r="L161" s="3" t="s">
        <v>28</v>
      </c>
      <c r="M161" s="3" t="s">
        <v>24</v>
      </c>
      <c r="N161" s="5" t="str">
        <f>IF(K161=0,"Onsite",IF(K161=50,"Hybrid","Remote"))</f>
        <v>Hybrid</v>
      </c>
      <c r="O161" s="5">
        <f>IF(C161="Entrylevel",1,IF(C161="Intermediate",2,IF(C161="Senior",3,4)))</f>
        <v>2</v>
      </c>
    </row>
    <row r="162" spans="1:15" ht="14.4" x14ac:dyDescent="0.3">
      <c r="A162" s="4" t="s">
        <v>340</v>
      </c>
      <c r="B162" s="4">
        <v>2021</v>
      </c>
      <c r="C162" s="5" t="s">
        <v>13</v>
      </c>
      <c r="D162" s="5" t="s">
        <v>14</v>
      </c>
      <c r="E162" s="5" t="s">
        <v>15</v>
      </c>
      <c r="F162" s="4">
        <v>76760</v>
      </c>
      <c r="G162" s="5" t="s">
        <v>16</v>
      </c>
      <c r="H162" s="4">
        <v>90734</v>
      </c>
      <c r="I162" s="2">
        <f>H162*83.12</f>
        <v>7541810.0800000001</v>
      </c>
      <c r="J162" s="5" t="s">
        <v>17</v>
      </c>
      <c r="K162" s="8">
        <v>50</v>
      </c>
      <c r="L162" s="5" t="s">
        <v>17</v>
      </c>
      <c r="M162" s="5" t="s">
        <v>18</v>
      </c>
      <c r="N162" s="5" t="str">
        <f>IF(K162=0,"Onsite",IF(K162=50,"Hybrid","Remote"))</f>
        <v>Hybrid</v>
      </c>
      <c r="O162" s="5">
        <f>IF(C162="Entrylevel",1,IF(C162="Intermediate",2,IF(C162="Senior",3,4)))</f>
        <v>2</v>
      </c>
    </row>
    <row r="163" spans="1:15" ht="14.4" x14ac:dyDescent="0.3">
      <c r="A163" s="2" t="s">
        <v>341</v>
      </c>
      <c r="B163" s="2">
        <v>2021</v>
      </c>
      <c r="C163" s="3" t="s">
        <v>13</v>
      </c>
      <c r="D163" s="3" t="s">
        <v>14</v>
      </c>
      <c r="E163" s="3" t="s">
        <v>34</v>
      </c>
      <c r="F163" s="2">
        <v>75000</v>
      </c>
      <c r="G163" s="3" t="s">
        <v>16</v>
      </c>
      <c r="H163" s="2">
        <v>88654</v>
      </c>
      <c r="I163" s="2">
        <f>H163*83.12</f>
        <v>7368920.4800000004</v>
      </c>
      <c r="J163" s="3" t="s">
        <v>250</v>
      </c>
      <c r="K163" s="7">
        <v>100</v>
      </c>
      <c r="L163" s="3" t="s">
        <v>250</v>
      </c>
      <c r="M163" s="3" t="s">
        <v>29</v>
      </c>
      <c r="N163" s="5" t="str">
        <f>IF(K163=0,"Onsite",IF(K163=50,"Hybrid","Remote"))</f>
        <v>Remote</v>
      </c>
      <c r="O163" s="5">
        <f>IF(C163="Entrylevel",1,IF(C163="Intermediate",2,IF(C163="Senior",3,4)))</f>
        <v>2</v>
      </c>
    </row>
    <row r="164" spans="1:15" ht="14.4" x14ac:dyDescent="0.3">
      <c r="A164" s="2" t="s">
        <v>343</v>
      </c>
      <c r="B164" s="2">
        <v>2021</v>
      </c>
      <c r="C164" s="3" t="s">
        <v>13</v>
      </c>
      <c r="D164" s="3" t="s">
        <v>14</v>
      </c>
      <c r="E164" s="3" t="s">
        <v>34</v>
      </c>
      <c r="F164" s="2">
        <v>180000</v>
      </c>
      <c r="G164" s="3" t="s">
        <v>173</v>
      </c>
      <c r="H164" s="2">
        <v>46597</v>
      </c>
      <c r="I164" s="2">
        <f>H164*83.12</f>
        <v>3873142.64</v>
      </c>
      <c r="J164" s="3" t="s">
        <v>64</v>
      </c>
      <c r="K164" s="7">
        <v>100</v>
      </c>
      <c r="L164" s="3" t="s">
        <v>64</v>
      </c>
      <c r="M164" s="3" t="s">
        <v>18</v>
      </c>
      <c r="N164" s="5" t="str">
        <f>IF(K164=0,"Onsite",IF(K164=50,"Hybrid","Remote"))</f>
        <v>Remote</v>
      </c>
      <c r="O164" s="5">
        <f>IF(C164="Entrylevel",1,IF(C164="Intermediate",2,IF(C164="Senior",3,4)))</f>
        <v>2</v>
      </c>
    </row>
    <row r="165" spans="1:15" ht="14.4" x14ac:dyDescent="0.3">
      <c r="A165" s="4" t="s">
        <v>344</v>
      </c>
      <c r="B165" s="4">
        <v>2021</v>
      </c>
      <c r="C165" s="5" t="s">
        <v>13</v>
      </c>
      <c r="D165" s="5" t="s">
        <v>14</v>
      </c>
      <c r="E165" s="5" t="s">
        <v>15</v>
      </c>
      <c r="F165" s="4">
        <v>85000</v>
      </c>
      <c r="G165" s="5" t="s">
        <v>27</v>
      </c>
      <c r="H165" s="4">
        <v>116914</v>
      </c>
      <c r="I165" s="2">
        <f>H165*83.12</f>
        <v>9717891.6799999997</v>
      </c>
      <c r="J165" s="5" t="s">
        <v>28</v>
      </c>
      <c r="K165" s="8">
        <v>50</v>
      </c>
      <c r="L165" s="5" t="s">
        <v>28</v>
      </c>
      <c r="M165" s="5" t="s">
        <v>18</v>
      </c>
      <c r="N165" s="5" t="str">
        <f>IF(K165=0,"Onsite",IF(K165=50,"Hybrid","Remote"))</f>
        <v>Hybrid</v>
      </c>
      <c r="O165" s="5">
        <f>IF(C165="Entrylevel",1,IF(C165="Intermediate",2,IF(C165="Senior",3,4)))</f>
        <v>2</v>
      </c>
    </row>
    <row r="166" spans="1:15" ht="14.4" x14ac:dyDescent="0.3">
      <c r="A166" s="2" t="s">
        <v>345</v>
      </c>
      <c r="B166" s="2">
        <v>2021</v>
      </c>
      <c r="C166" s="3" t="s">
        <v>13</v>
      </c>
      <c r="D166" s="3" t="s">
        <v>14</v>
      </c>
      <c r="E166" s="3" t="s">
        <v>15</v>
      </c>
      <c r="F166" s="2">
        <v>2500000</v>
      </c>
      <c r="G166" s="3" t="s">
        <v>52</v>
      </c>
      <c r="H166" s="2">
        <v>33808</v>
      </c>
      <c r="I166" s="2">
        <f>H166*83.12</f>
        <v>2810120.96</v>
      </c>
      <c r="J166" s="3" t="s">
        <v>53</v>
      </c>
      <c r="K166" s="7">
        <v>0</v>
      </c>
      <c r="L166" s="3" t="s">
        <v>53</v>
      </c>
      <c r="M166" s="3" t="s">
        <v>29</v>
      </c>
      <c r="N166" s="5" t="str">
        <f>IF(K166=0,"Onsite",IF(K166=50,"Hybrid","Remote"))</f>
        <v>Onsite</v>
      </c>
      <c r="O166" s="5">
        <f>IF(C166="Entrylevel",1,IF(C166="Intermediate",2,IF(C166="Senior",3,4)))</f>
        <v>2</v>
      </c>
    </row>
    <row r="167" spans="1:15" ht="14.4" x14ac:dyDescent="0.3">
      <c r="A167" s="4" t="s">
        <v>346</v>
      </c>
      <c r="B167" s="4">
        <v>2021</v>
      </c>
      <c r="C167" s="5" t="s">
        <v>13</v>
      </c>
      <c r="D167" s="5" t="s">
        <v>14</v>
      </c>
      <c r="E167" s="5" t="s">
        <v>15</v>
      </c>
      <c r="F167" s="4">
        <v>40900</v>
      </c>
      <c r="G167" s="5" t="s">
        <v>27</v>
      </c>
      <c r="H167" s="4">
        <v>56256</v>
      </c>
      <c r="I167" s="2">
        <f>H167*83.12</f>
        <v>4675998.7200000007</v>
      </c>
      <c r="J167" s="5" t="s">
        <v>28</v>
      </c>
      <c r="K167" s="8">
        <v>50</v>
      </c>
      <c r="L167" s="5" t="s">
        <v>28</v>
      </c>
      <c r="M167" s="5" t="s">
        <v>18</v>
      </c>
      <c r="N167" s="5" t="str">
        <f>IF(K167=0,"Onsite",IF(K167=50,"Hybrid","Remote"))</f>
        <v>Hybrid</v>
      </c>
      <c r="O167" s="5">
        <f>IF(C167="Entrylevel",1,IF(C167="Intermediate",2,IF(C167="Senior",3,4)))</f>
        <v>2</v>
      </c>
    </row>
    <row r="168" spans="1:15" ht="14.4" x14ac:dyDescent="0.3">
      <c r="A168" s="4" t="s">
        <v>350</v>
      </c>
      <c r="B168" s="4">
        <v>2021</v>
      </c>
      <c r="C168" s="5" t="s">
        <v>13</v>
      </c>
      <c r="D168" s="5" t="s">
        <v>14</v>
      </c>
      <c r="E168" s="5" t="s">
        <v>15</v>
      </c>
      <c r="F168" s="4">
        <v>75000</v>
      </c>
      <c r="G168" s="5" t="s">
        <v>16</v>
      </c>
      <c r="H168" s="4">
        <v>88654</v>
      </c>
      <c r="I168" s="2">
        <f>H168*83.12</f>
        <v>7368920.4800000004</v>
      </c>
      <c r="J168" s="5" t="s">
        <v>17</v>
      </c>
      <c r="K168" s="8">
        <v>50</v>
      </c>
      <c r="L168" s="5" t="s">
        <v>17</v>
      </c>
      <c r="M168" s="5" t="s">
        <v>18</v>
      </c>
      <c r="N168" s="5" t="str">
        <f>IF(K168=0,"Onsite",IF(K168=50,"Hybrid","Remote"))</f>
        <v>Hybrid</v>
      </c>
      <c r="O168" s="5">
        <f>IF(C168="Entrylevel",1,IF(C168="Intermediate",2,IF(C168="Senior",3,4)))</f>
        <v>2</v>
      </c>
    </row>
    <row r="169" spans="1:15" ht="14.4" x14ac:dyDescent="0.3">
      <c r="A169" s="2" t="s">
        <v>357</v>
      </c>
      <c r="B169" s="2">
        <v>2021</v>
      </c>
      <c r="C169" s="3" t="s">
        <v>13</v>
      </c>
      <c r="D169" s="3" t="s">
        <v>14</v>
      </c>
      <c r="E169" s="3" t="s">
        <v>281</v>
      </c>
      <c r="F169" s="2">
        <v>180000</v>
      </c>
      <c r="G169" s="3" t="s">
        <v>22</v>
      </c>
      <c r="H169" s="2">
        <v>180000</v>
      </c>
      <c r="I169" s="2">
        <f>H169*83.12</f>
        <v>14961600</v>
      </c>
      <c r="J169" s="3" t="s">
        <v>35</v>
      </c>
      <c r="K169" s="7">
        <v>100</v>
      </c>
      <c r="L169" s="3" t="s">
        <v>35</v>
      </c>
      <c r="M169" s="3" t="s">
        <v>18</v>
      </c>
      <c r="N169" s="5" t="str">
        <f>IF(K169=0,"Onsite",IF(K169=50,"Hybrid","Remote"))</f>
        <v>Remote</v>
      </c>
      <c r="O169" s="5">
        <f>IF(C169="Entrylevel",1,IF(C169="Intermediate",2,IF(C169="Senior",3,4)))</f>
        <v>2</v>
      </c>
    </row>
    <row r="170" spans="1:15" ht="14.4" x14ac:dyDescent="0.3">
      <c r="A170" s="4" t="s">
        <v>358</v>
      </c>
      <c r="B170" s="4">
        <v>2021</v>
      </c>
      <c r="C170" s="5" t="s">
        <v>13</v>
      </c>
      <c r="D170" s="5" t="s">
        <v>14</v>
      </c>
      <c r="E170" s="5" t="s">
        <v>270</v>
      </c>
      <c r="F170" s="4">
        <v>110000</v>
      </c>
      <c r="G170" s="5" t="s">
        <v>22</v>
      </c>
      <c r="H170" s="4">
        <v>110000</v>
      </c>
      <c r="I170" s="2">
        <f>H170*83.12</f>
        <v>9143200</v>
      </c>
      <c r="J170" s="5" t="s">
        <v>35</v>
      </c>
      <c r="K170" s="8">
        <v>0</v>
      </c>
      <c r="L170" s="5" t="s">
        <v>35</v>
      </c>
      <c r="M170" s="5" t="s">
        <v>24</v>
      </c>
      <c r="N170" s="5" t="str">
        <f>IF(K170=0,"Onsite",IF(K170=50,"Hybrid","Remote"))</f>
        <v>Onsite</v>
      </c>
      <c r="O170" s="5">
        <f>IF(C170="Entrylevel",1,IF(C170="Intermediate",2,IF(C170="Senior",3,4)))</f>
        <v>2</v>
      </c>
    </row>
    <row r="171" spans="1:15" ht="14.4" x14ac:dyDescent="0.3">
      <c r="A171" s="2" t="s">
        <v>359</v>
      </c>
      <c r="B171" s="2">
        <v>2021</v>
      </c>
      <c r="C171" s="3" t="s">
        <v>13</v>
      </c>
      <c r="D171" s="3" t="s">
        <v>14</v>
      </c>
      <c r="E171" s="3" t="s">
        <v>83</v>
      </c>
      <c r="F171" s="2">
        <v>80000</v>
      </c>
      <c r="G171" s="3" t="s">
        <v>92</v>
      </c>
      <c r="H171" s="2">
        <v>63810</v>
      </c>
      <c r="I171" s="2">
        <f>H171*83.12</f>
        <v>5303887.2</v>
      </c>
      <c r="J171" s="3" t="s">
        <v>93</v>
      </c>
      <c r="K171" s="7">
        <v>100</v>
      </c>
      <c r="L171" s="3" t="s">
        <v>93</v>
      </c>
      <c r="M171" s="3" t="s">
        <v>29</v>
      </c>
      <c r="N171" s="5" t="str">
        <f>IF(K171=0,"Onsite",IF(K171=50,"Hybrid","Remote"))</f>
        <v>Remote</v>
      </c>
      <c r="O171" s="5">
        <f>IF(C171="Entrylevel",1,IF(C171="Intermediate",2,IF(C171="Senior",3,4)))</f>
        <v>2</v>
      </c>
    </row>
    <row r="172" spans="1:15" ht="14.4" x14ac:dyDescent="0.3">
      <c r="A172" s="4" t="s">
        <v>360</v>
      </c>
      <c r="B172" s="4">
        <v>2021</v>
      </c>
      <c r="C172" s="5" t="s">
        <v>13</v>
      </c>
      <c r="D172" s="5" t="s">
        <v>14</v>
      </c>
      <c r="E172" s="5" t="s">
        <v>15</v>
      </c>
      <c r="F172" s="4">
        <v>39600</v>
      </c>
      <c r="G172" s="5" t="s">
        <v>16</v>
      </c>
      <c r="H172" s="4">
        <v>46809</v>
      </c>
      <c r="I172" s="2">
        <f>H172*83.12</f>
        <v>3890764.08</v>
      </c>
      <c r="J172" s="5" t="s">
        <v>110</v>
      </c>
      <c r="K172" s="8">
        <v>100</v>
      </c>
      <c r="L172" s="5" t="s">
        <v>110</v>
      </c>
      <c r="M172" s="5" t="s">
        <v>29</v>
      </c>
      <c r="N172" s="5" t="str">
        <f>IF(K172=0,"Onsite",IF(K172=50,"Hybrid","Remote"))</f>
        <v>Remote</v>
      </c>
      <c r="O172" s="5">
        <f>IF(C172="Entrylevel",1,IF(C172="Intermediate",2,IF(C172="Senior",3,4)))</f>
        <v>2</v>
      </c>
    </row>
    <row r="173" spans="1:15" ht="14.4" x14ac:dyDescent="0.3">
      <c r="A173" s="4" t="s">
        <v>364</v>
      </c>
      <c r="B173" s="4">
        <v>2021</v>
      </c>
      <c r="C173" s="5" t="s">
        <v>13</v>
      </c>
      <c r="D173" s="5" t="s">
        <v>14</v>
      </c>
      <c r="E173" s="5" t="s">
        <v>38</v>
      </c>
      <c r="F173" s="4">
        <v>80000</v>
      </c>
      <c r="G173" s="5" t="s">
        <v>22</v>
      </c>
      <c r="H173" s="4">
        <v>80000</v>
      </c>
      <c r="I173" s="2">
        <f>H173*83.12</f>
        <v>6649600</v>
      </c>
      <c r="J173" s="5" t="s">
        <v>35</v>
      </c>
      <c r="K173" s="8">
        <v>100</v>
      </c>
      <c r="L173" s="5" t="s">
        <v>35</v>
      </c>
      <c r="M173" s="5" t="s">
        <v>18</v>
      </c>
      <c r="N173" s="5" t="str">
        <f>IF(K173=0,"Onsite",IF(K173=50,"Hybrid","Remote"))</f>
        <v>Remote</v>
      </c>
      <c r="O173" s="5">
        <f>IF(C173="Entrylevel",1,IF(C173="Intermediate",2,IF(C173="Senior",3,4)))</f>
        <v>2</v>
      </c>
    </row>
    <row r="174" spans="1:15" ht="14.4" x14ac:dyDescent="0.3">
      <c r="A174" s="2" t="s">
        <v>365</v>
      </c>
      <c r="B174" s="2">
        <v>2021</v>
      </c>
      <c r="C174" s="3" t="s">
        <v>13</v>
      </c>
      <c r="D174" s="3" t="s">
        <v>14</v>
      </c>
      <c r="E174" s="3" t="s">
        <v>61</v>
      </c>
      <c r="F174" s="2">
        <v>110000</v>
      </c>
      <c r="G174" s="3" t="s">
        <v>22</v>
      </c>
      <c r="H174" s="2">
        <v>110000</v>
      </c>
      <c r="I174" s="2">
        <f>H174*83.12</f>
        <v>9143200</v>
      </c>
      <c r="J174" s="3" t="s">
        <v>35</v>
      </c>
      <c r="K174" s="7">
        <v>100</v>
      </c>
      <c r="L174" s="3" t="s">
        <v>35</v>
      </c>
      <c r="M174" s="3" t="s">
        <v>18</v>
      </c>
      <c r="N174" s="5" t="str">
        <f>IF(K174=0,"Onsite",IF(K174=50,"Hybrid","Remote"))</f>
        <v>Remote</v>
      </c>
      <c r="O174" s="5">
        <f>IF(C174="Entrylevel",1,IF(C174="Intermediate",2,IF(C174="Senior",3,4)))</f>
        <v>2</v>
      </c>
    </row>
    <row r="175" spans="1:15" ht="14.4" x14ac:dyDescent="0.3">
      <c r="A175" s="4" t="s">
        <v>369</v>
      </c>
      <c r="B175" s="4">
        <v>2021</v>
      </c>
      <c r="C175" s="5" t="s">
        <v>13</v>
      </c>
      <c r="D175" s="5" t="s">
        <v>14</v>
      </c>
      <c r="E175" s="5" t="s">
        <v>61</v>
      </c>
      <c r="F175" s="4">
        <v>52500</v>
      </c>
      <c r="G175" s="5" t="s">
        <v>27</v>
      </c>
      <c r="H175" s="4">
        <v>72212</v>
      </c>
      <c r="I175" s="2">
        <f>H175*83.12</f>
        <v>6002261.4400000004</v>
      </c>
      <c r="J175" s="5" t="s">
        <v>28</v>
      </c>
      <c r="K175" s="8">
        <v>50</v>
      </c>
      <c r="L175" s="5" t="s">
        <v>28</v>
      </c>
      <c r="M175" s="5" t="s">
        <v>18</v>
      </c>
      <c r="N175" s="5" t="str">
        <f>IF(K175=0,"Onsite",IF(K175=50,"Hybrid","Remote"))</f>
        <v>Hybrid</v>
      </c>
      <c r="O175" s="5">
        <f>IF(C175="Entrylevel",1,IF(C175="Intermediate",2,IF(C175="Senior",3,4)))</f>
        <v>2</v>
      </c>
    </row>
    <row r="176" spans="1:15" ht="14.4" x14ac:dyDescent="0.3">
      <c r="A176" s="4" t="s">
        <v>371</v>
      </c>
      <c r="B176" s="4">
        <v>2021</v>
      </c>
      <c r="C176" s="5" t="s">
        <v>13</v>
      </c>
      <c r="D176" s="5" t="s">
        <v>14</v>
      </c>
      <c r="E176" s="5" t="s">
        <v>61</v>
      </c>
      <c r="F176" s="4">
        <v>108000</v>
      </c>
      <c r="G176" s="5" t="s">
        <v>372</v>
      </c>
      <c r="H176" s="4">
        <v>12103</v>
      </c>
      <c r="I176" s="2">
        <f>H176*83.12</f>
        <v>1006001.3600000001</v>
      </c>
      <c r="J176" s="5" t="s">
        <v>373</v>
      </c>
      <c r="K176" s="8">
        <v>0</v>
      </c>
      <c r="L176" s="5" t="s">
        <v>373</v>
      </c>
      <c r="M176" s="5" t="s">
        <v>29</v>
      </c>
      <c r="N176" s="5" t="str">
        <f>IF(K176=0,"Onsite",IF(K176=50,"Hybrid","Remote"))</f>
        <v>Onsite</v>
      </c>
      <c r="O176" s="5">
        <f>IF(C176="Entrylevel",1,IF(C176="Intermediate",2,IF(C176="Senior",3,4)))</f>
        <v>2</v>
      </c>
    </row>
    <row r="177" spans="1:15" ht="14.4" x14ac:dyDescent="0.3">
      <c r="A177" s="2" t="s">
        <v>377</v>
      </c>
      <c r="B177" s="2">
        <v>2021</v>
      </c>
      <c r="C177" s="3" t="s">
        <v>13</v>
      </c>
      <c r="D177" s="3" t="s">
        <v>14</v>
      </c>
      <c r="E177" s="3" t="s">
        <v>15</v>
      </c>
      <c r="F177" s="2">
        <v>115000</v>
      </c>
      <c r="G177" s="3" t="s">
        <v>22</v>
      </c>
      <c r="H177" s="2">
        <v>115000</v>
      </c>
      <c r="I177" s="2">
        <f>H177*83.12</f>
        <v>9558800</v>
      </c>
      <c r="J177" s="3" t="s">
        <v>35</v>
      </c>
      <c r="K177" s="7">
        <v>50</v>
      </c>
      <c r="L177" s="3" t="s">
        <v>35</v>
      </c>
      <c r="M177" s="3" t="s">
        <v>18</v>
      </c>
      <c r="N177" s="5" t="str">
        <f>IF(K177=0,"Onsite",IF(K177=50,"Hybrid","Remote"))</f>
        <v>Hybrid</v>
      </c>
      <c r="O177" s="5">
        <f>IF(C177="Entrylevel",1,IF(C177="Intermediate",2,IF(C177="Senior",3,4)))</f>
        <v>2</v>
      </c>
    </row>
    <row r="178" spans="1:15" ht="14.4" x14ac:dyDescent="0.3">
      <c r="A178" s="2" t="s">
        <v>381</v>
      </c>
      <c r="B178" s="2">
        <v>2021</v>
      </c>
      <c r="C178" s="3" t="s">
        <v>13</v>
      </c>
      <c r="D178" s="3" t="s">
        <v>14</v>
      </c>
      <c r="E178" s="3" t="s">
        <v>38</v>
      </c>
      <c r="F178" s="2">
        <v>93000</v>
      </c>
      <c r="G178" s="3" t="s">
        <v>22</v>
      </c>
      <c r="H178" s="2">
        <v>93000</v>
      </c>
      <c r="I178" s="2">
        <f>H178*83.12</f>
        <v>7730160</v>
      </c>
      <c r="J178" s="3" t="s">
        <v>35</v>
      </c>
      <c r="K178" s="7">
        <v>100</v>
      </c>
      <c r="L178" s="3" t="s">
        <v>35</v>
      </c>
      <c r="M178" s="3" t="s">
        <v>18</v>
      </c>
      <c r="N178" s="5" t="str">
        <f>IF(K178=0,"Onsite",IF(K178=50,"Hybrid","Remote"))</f>
        <v>Remote</v>
      </c>
      <c r="O178" s="5">
        <f>IF(C178="Entrylevel",1,IF(C178="Intermediate",2,IF(C178="Senior",3,4)))</f>
        <v>2</v>
      </c>
    </row>
    <row r="179" spans="1:15" ht="14.4" x14ac:dyDescent="0.3">
      <c r="A179" s="2" t="s">
        <v>384</v>
      </c>
      <c r="B179" s="2">
        <v>2021</v>
      </c>
      <c r="C179" s="3" t="s">
        <v>13</v>
      </c>
      <c r="D179" s="3" t="s">
        <v>14</v>
      </c>
      <c r="E179" s="3" t="s">
        <v>61</v>
      </c>
      <c r="F179" s="2">
        <v>200000</v>
      </c>
      <c r="G179" s="3" t="s">
        <v>22</v>
      </c>
      <c r="H179" s="2">
        <v>200000</v>
      </c>
      <c r="I179" s="2">
        <f>H179*83.12</f>
        <v>16624000</v>
      </c>
      <c r="J179" s="3" t="s">
        <v>35</v>
      </c>
      <c r="K179" s="7">
        <v>100</v>
      </c>
      <c r="L179" s="3" t="s">
        <v>35</v>
      </c>
      <c r="M179" s="3" t="s">
        <v>18</v>
      </c>
      <c r="N179" s="5" t="str">
        <f>IF(K179=0,"Onsite",IF(K179=50,"Hybrid","Remote"))</f>
        <v>Remote</v>
      </c>
      <c r="O179" s="5">
        <f>IF(C179="Entrylevel",1,IF(C179="Intermediate",2,IF(C179="Senior",3,4)))</f>
        <v>2</v>
      </c>
    </row>
    <row r="180" spans="1:15" ht="14.4" x14ac:dyDescent="0.3">
      <c r="A180" s="2" t="s">
        <v>388</v>
      </c>
      <c r="B180" s="2">
        <v>2021</v>
      </c>
      <c r="C180" s="3" t="s">
        <v>13</v>
      </c>
      <c r="D180" s="3" t="s">
        <v>14</v>
      </c>
      <c r="E180" s="3" t="s">
        <v>15</v>
      </c>
      <c r="F180" s="2">
        <v>130000</v>
      </c>
      <c r="G180" s="3" t="s">
        <v>22</v>
      </c>
      <c r="H180" s="2">
        <v>130000</v>
      </c>
      <c r="I180" s="2">
        <f>H180*83.12</f>
        <v>10805600</v>
      </c>
      <c r="J180" s="3" t="s">
        <v>35</v>
      </c>
      <c r="K180" s="7">
        <v>50</v>
      </c>
      <c r="L180" s="3" t="s">
        <v>35</v>
      </c>
      <c r="M180" s="3" t="s">
        <v>18</v>
      </c>
      <c r="N180" s="5" t="str">
        <f>IF(K180=0,"Onsite",IF(K180=50,"Hybrid","Remote"))</f>
        <v>Hybrid</v>
      </c>
      <c r="O180" s="5">
        <f>IF(C180="Entrylevel",1,IF(C180="Intermediate",2,IF(C180="Senior",3,4)))</f>
        <v>2</v>
      </c>
    </row>
    <row r="181" spans="1:15" ht="14.4" x14ac:dyDescent="0.3">
      <c r="A181" s="2" t="s">
        <v>390</v>
      </c>
      <c r="B181" s="2">
        <v>2021</v>
      </c>
      <c r="C181" s="3" t="s">
        <v>13</v>
      </c>
      <c r="D181" s="3" t="s">
        <v>14</v>
      </c>
      <c r="E181" s="3" t="s">
        <v>15</v>
      </c>
      <c r="F181" s="2">
        <v>1250000</v>
      </c>
      <c r="G181" s="3" t="s">
        <v>52</v>
      </c>
      <c r="H181" s="2">
        <v>16904</v>
      </c>
      <c r="I181" s="2">
        <f>H181*83.12</f>
        <v>1405060.48</v>
      </c>
      <c r="J181" s="3" t="s">
        <v>53</v>
      </c>
      <c r="K181" s="7">
        <v>100</v>
      </c>
      <c r="L181" s="3" t="s">
        <v>53</v>
      </c>
      <c r="M181" s="3" t="s">
        <v>24</v>
      </c>
      <c r="N181" s="5" t="str">
        <f>IF(K181=0,"Onsite",IF(K181=50,"Hybrid","Remote"))</f>
        <v>Remote</v>
      </c>
      <c r="O181" s="5">
        <f>IF(C181="Entrylevel",1,IF(C181="Intermediate",2,IF(C181="Senior",3,4)))</f>
        <v>2</v>
      </c>
    </row>
    <row r="182" spans="1:15" ht="14.4" x14ac:dyDescent="0.3">
      <c r="A182" s="2" t="s">
        <v>392</v>
      </c>
      <c r="B182" s="2">
        <v>2021</v>
      </c>
      <c r="C182" s="3" t="s">
        <v>13</v>
      </c>
      <c r="D182" s="3" t="s">
        <v>14</v>
      </c>
      <c r="E182" s="3" t="s">
        <v>15</v>
      </c>
      <c r="F182" s="2">
        <v>21600</v>
      </c>
      <c r="G182" s="3" t="s">
        <v>16</v>
      </c>
      <c r="H182" s="2">
        <v>25532</v>
      </c>
      <c r="I182" s="2">
        <f>H182*83.12</f>
        <v>2122219.8400000003</v>
      </c>
      <c r="J182" s="3" t="s">
        <v>393</v>
      </c>
      <c r="K182" s="7">
        <v>100</v>
      </c>
      <c r="L182" s="3" t="s">
        <v>17</v>
      </c>
      <c r="M182" s="3" t="s">
        <v>24</v>
      </c>
      <c r="N182" s="5" t="str">
        <f>IF(K182=0,"Onsite",IF(K182=50,"Hybrid","Remote"))</f>
        <v>Remote</v>
      </c>
      <c r="O182" s="5">
        <f>IF(C182="Entrylevel",1,IF(C182="Intermediate",2,IF(C182="Senior",3,4)))</f>
        <v>2</v>
      </c>
    </row>
    <row r="183" spans="1:15" ht="14.4" x14ac:dyDescent="0.3">
      <c r="A183" s="2" t="s">
        <v>396</v>
      </c>
      <c r="B183" s="2">
        <v>2021</v>
      </c>
      <c r="C183" s="3" t="s">
        <v>13</v>
      </c>
      <c r="D183" s="3" t="s">
        <v>14</v>
      </c>
      <c r="E183" s="3" t="s">
        <v>61</v>
      </c>
      <c r="F183" s="2">
        <v>93150</v>
      </c>
      <c r="G183" s="3" t="s">
        <v>22</v>
      </c>
      <c r="H183" s="2">
        <v>93150</v>
      </c>
      <c r="I183" s="2">
        <f>H183*83.12</f>
        <v>7742628</v>
      </c>
      <c r="J183" s="3" t="s">
        <v>35</v>
      </c>
      <c r="K183" s="7">
        <v>0</v>
      </c>
      <c r="L183" s="3" t="s">
        <v>35</v>
      </c>
      <c r="M183" s="3" t="s">
        <v>29</v>
      </c>
      <c r="N183" s="5" t="str">
        <f>IF(K183=0,"Onsite",IF(K183=50,"Hybrid","Remote"))</f>
        <v>Onsite</v>
      </c>
      <c r="O183" s="5">
        <f>IF(C183="Entrylevel",1,IF(C183="Intermediate",2,IF(C183="Senior",3,4)))</f>
        <v>2</v>
      </c>
    </row>
    <row r="184" spans="1:15" ht="14.4" x14ac:dyDescent="0.3">
      <c r="A184" s="4" t="s">
        <v>397</v>
      </c>
      <c r="B184" s="4">
        <v>2021</v>
      </c>
      <c r="C184" s="5" t="s">
        <v>13</v>
      </c>
      <c r="D184" s="5" t="s">
        <v>14</v>
      </c>
      <c r="E184" s="5" t="s">
        <v>61</v>
      </c>
      <c r="F184" s="4">
        <v>111775</v>
      </c>
      <c r="G184" s="5" t="s">
        <v>22</v>
      </c>
      <c r="H184" s="4">
        <v>111775</v>
      </c>
      <c r="I184" s="2">
        <f>H184*83.12</f>
        <v>9290738</v>
      </c>
      <c r="J184" s="5" t="s">
        <v>35</v>
      </c>
      <c r="K184" s="8">
        <v>0</v>
      </c>
      <c r="L184" s="5" t="s">
        <v>35</v>
      </c>
      <c r="M184" s="5" t="s">
        <v>29</v>
      </c>
      <c r="N184" s="5" t="str">
        <f>IF(K184=0,"Onsite",IF(K184=50,"Hybrid","Remote"))</f>
        <v>Onsite</v>
      </c>
      <c r="O184" s="5">
        <f>IF(C184="Entrylevel",1,IF(C184="Intermediate",2,IF(C184="Senior",3,4)))</f>
        <v>2</v>
      </c>
    </row>
    <row r="185" spans="1:15" ht="14.4" x14ac:dyDescent="0.3">
      <c r="A185" s="2" t="s">
        <v>398</v>
      </c>
      <c r="B185" s="2">
        <v>2021</v>
      </c>
      <c r="C185" s="3" t="s">
        <v>13</v>
      </c>
      <c r="D185" s="3" t="s">
        <v>14</v>
      </c>
      <c r="E185" s="3" t="s">
        <v>61</v>
      </c>
      <c r="F185" s="2">
        <v>250000</v>
      </c>
      <c r="G185" s="3" t="s">
        <v>372</v>
      </c>
      <c r="H185" s="2">
        <v>28016</v>
      </c>
      <c r="I185" s="2">
        <f>H185*83.12</f>
        <v>2328689.92</v>
      </c>
      <c r="J185" s="3" t="s">
        <v>373</v>
      </c>
      <c r="K185" s="7">
        <v>100</v>
      </c>
      <c r="L185" s="3" t="s">
        <v>373</v>
      </c>
      <c r="M185" s="3" t="s">
        <v>29</v>
      </c>
      <c r="N185" s="5" t="str">
        <f>IF(K185=0,"Onsite",IF(K185=50,"Hybrid","Remote"))</f>
        <v>Remote</v>
      </c>
      <c r="O185" s="5">
        <f>IF(C185="Entrylevel",1,IF(C185="Intermediate",2,IF(C185="Senior",3,4)))</f>
        <v>2</v>
      </c>
    </row>
    <row r="186" spans="1:15" ht="14.4" x14ac:dyDescent="0.3">
      <c r="A186" s="2" t="s">
        <v>410</v>
      </c>
      <c r="B186" s="2">
        <v>2021</v>
      </c>
      <c r="C186" s="3" t="s">
        <v>13</v>
      </c>
      <c r="D186" s="3" t="s">
        <v>14</v>
      </c>
      <c r="E186" s="3" t="s">
        <v>61</v>
      </c>
      <c r="F186" s="2">
        <v>112000</v>
      </c>
      <c r="G186" s="3" t="s">
        <v>22</v>
      </c>
      <c r="H186" s="2">
        <v>112000</v>
      </c>
      <c r="I186" s="2">
        <f>H186*83.12</f>
        <v>9309440</v>
      </c>
      <c r="J186" s="3" t="s">
        <v>35</v>
      </c>
      <c r="K186" s="7">
        <v>100</v>
      </c>
      <c r="L186" s="3" t="s">
        <v>35</v>
      </c>
      <c r="M186" s="3" t="s">
        <v>18</v>
      </c>
      <c r="N186" s="5" t="str">
        <f>IF(K186=0,"Onsite",IF(K186=50,"Hybrid","Remote"))</f>
        <v>Remote</v>
      </c>
      <c r="O186" s="5">
        <f>IF(C186="Entrylevel",1,IF(C186="Intermediate",2,IF(C186="Senior",3,4)))</f>
        <v>2</v>
      </c>
    </row>
    <row r="187" spans="1:15" ht="14.4" x14ac:dyDescent="0.3">
      <c r="A187" s="2" t="s">
        <v>413</v>
      </c>
      <c r="B187" s="2">
        <v>2021</v>
      </c>
      <c r="C187" s="3" t="s">
        <v>13</v>
      </c>
      <c r="D187" s="3" t="s">
        <v>116</v>
      </c>
      <c r="E187" s="3" t="s">
        <v>61</v>
      </c>
      <c r="F187" s="2">
        <v>59000</v>
      </c>
      <c r="G187" s="3" t="s">
        <v>16</v>
      </c>
      <c r="H187" s="2">
        <v>69741</v>
      </c>
      <c r="I187" s="2">
        <f>H187*83.12</f>
        <v>5796871.9199999999</v>
      </c>
      <c r="J187" s="3" t="s">
        <v>84</v>
      </c>
      <c r="K187" s="7">
        <v>100</v>
      </c>
      <c r="L187" s="3" t="s">
        <v>84</v>
      </c>
      <c r="M187" s="3" t="s">
        <v>18</v>
      </c>
      <c r="N187" s="5" t="str">
        <f>IF(K187=0,"Onsite",IF(K187=50,"Hybrid","Remote"))</f>
        <v>Remote</v>
      </c>
      <c r="O187" s="5">
        <f>IF(C187="Entrylevel",1,IF(C187="Intermediate",2,IF(C187="Senior",3,4)))</f>
        <v>2</v>
      </c>
    </row>
    <row r="188" spans="1:15" ht="14.4" x14ac:dyDescent="0.3">
      <c r="A188" s="2" t="s">
        <v>416</v>
      </c>
      <c r="B188" s="2">
        <v>2021</v>
      </c>
      <c r="C188" s="3" t="s">
        <v>13</v>
      </c>
      <c r="D188" s="3" t="s">
        <v>14</v>
      </c>
      <c r="E188" s="3" t="s">
        <v>83</v>
      </c>
      <c r="F188" s="2">
        <v>69999</v>
      </c>
      <c r="G188" s="3" t="s">
        <v>22</v>
      </c>
      <c r="H188" s="2">
        <v>69999</v>
      </c>
      <c r="I188" s="2">
        <f>H188*83.12</f>
        <v>5818316.8799999999</v>
      </c>
      <c r="J188" s="3" t="s">
        <v>417</v>
      </c>
      <c r="K188" s="7">
        <v>50</v>
      </c>
      <c r="L188" s="3" t="s">
        <v>417</v>
      </c>
      <c r="M188" s="3" t="s">
        <v>18</v>
      </c>
      <c r="N188" s="5" t="str">
        <f>IF(K188=0,"Onsite",IF(K188=50,"Hybrid","Remote"))</f>
        <v>Hybrid</v>
      </c>
      <c r="O188" s="5">
        <f>IF(C188="Entrylevel",1,IF(C188="Intermediate",2,IF(C188="Senior",3,4)))</f>
        <v>2</v>
      </c>
    </row>
    <row r="189" spans="1:15" ht="14.4" x14ac:dyDescent="0.3">
      <c r="A189" s="4" t="s">
        <v>420</v>
      </c>
      <c r="B189" s="4">
        <v>2021</v>
      </c>
      <c r="C189" s="5" t="s">
        <v>13</v>
      </c>
      <c r="D189" s="5" t="s">
        <v>14</v>
      </c>
      <c r="E189" s="5" t="s">
        <v>15</v>
      </c>
      <c r="F189" s="4">
        <v>109000</v>
      </c>
      <c r="G189" s="5" t="s">
        <v>22</v>
      </c>
      <c r="H189" s="4">
        <v>109000</v>
      </c>
      <c r="I189" s="2">
        <f>H189*83.12</f>
        <v>9060080</v>
      </c>
      <c r="J189" s="5" t="s">
        <v>35</v>
      </c>
      <c r="K189" s="8">
        <v>50</v>
      </c>
      <c r="L189" s="5" t="s">
        <v>35</v>
      </c>
      <c r="M189" s="5" t="s">
        <v>18</v>
      </c>
      <c r="N189" s="5" t="str">
        <f>IF(K189=0,"Onsite",IF(K189=50,"Hybrid","Remote"))</f>
        <v>Hybrid</v>
      </c>
      <c r="O189" s="5">
        <f>IF(C189="Entrylevel",1,IF(C189="Intermediate",2,IF(C189="Senior",3,4)))</f>
        <v>2</v>
      </c>
    </row>
    <row r="190" spans="1:15" ht="14.4" x14ac:dyDescent="0.3">
      <c r="A190" s="2" t="s">
        <v>421</v>
      </c>
      <c r="B190" s="2">
        <v>2021</v>
      </c>
      <c r="C190" s="3" t="s">
        <v>13</v>
      </c>
      <c r="D190" s="3" t="s">
        <v>14</v>
      </c>
      <c r="E190" s="3" t="s">
        <v>34</v>
      </c>
      <c r="F190" s="2">
        <v>43200</v>
      </c>
      <c r="G190" s="3" t="s">
        <v>16</v>
      </c>
      <c r="H190" s="2">
        <v>51064</v>
      </c>
      <c r="I190" s="2">
        <f>H190*83.12</f>
        <v>4244439.6800000006</v>
      </c>
      <c r="J190" s="3" t="s">
        <v>142</v>
      </c>
      <c r="K190" s="7">
        <v>50</v>
      </c>
      <c r="L190" s="3" t="s">
        <v>142</v>
      </c>
      <c r="M190" s="3" t="s">
        <v>18</v>
      </c>
      <c r="N190" s="5" t="str">
        <f>IF(K190=0,"Onsite",IF(K190=50,"Hybrid","Remote"))</f>
        <v>Hybrid</v>
      </c>
      <c r="O190" s="5">
        <f>IF(C190="Entrylevel",1,IF(C190="Intermediate",2,IF(C190="Senior",3,4)))</f>
        <v>2</v>
      </c>
    </row>
    <row r="191" spans="1:15" ht="14.4" x14ac:dyDescent="0.3">
      <c r="A191" s="2" t="s">
        <v>425</v>
      </c>
      <c r="B191" s="2">
        <v>2022</v>
      </c>
      <c r="C191" s="3" t="s">
        <v>13</v>
      </c>
      <c r="D191" s="3" t="s">
        <v>14</v>
      </c>
      <c r="E191" s="3" t="s">
        <v>15</v>
      </c>
      <c r="F191" s="2">
        <v>130000</v>
      </c>
      <c r="G191" s="3" t="s">
        <v>22</v>
      </c>
      <c r="H191" s="2">
        <v>130000</v>
      </c>
      <c r="I191" s="2">
        <f>H191*83.12</f>
        <v>10805600</v>
      </c>
      <c r="J191" s="3" t="s">
        <v>35</v>
      </c>
      <c r="K191" s="7">
        <v>0</v>
      </c>
      <c r="L191" s="3" t="s">
        <v>35</v>
      </c>
      <c r="M191" s="3" t="s">
        <v>29</v>
      </c>
      <c r="N191" s="5" t="str">
        <f>IF(K191=0,"Onsite",IF(K191=50,"Hybrid","Remote"))</f>
        <v>Onsite</v>
      </c>
      <c r="O191" s="5">
        <f>IF(C191="Entrylevel",1,IF(C191="Intermediate",2,IF(C191="Senior",3,4)))</f>
        <v>2</v>
      </c>
    </row>
    <row r="192" spans="1:15" ht="14.4" x14ac:dyDescent="0.3">
      <c r="A192" s="4" t="s">
        <v>426</v>
      </c>
      <c r="B192" s="4">
        <v>2022</v>
      </c>
      <c r="C192" s="5" t="s">
        <v>13</v>
      </c>
      <c r="D192" s="5" t="s">
        <v>14</v>
      </c>
      <c r="E192" s="5" t="s">
        <v>15</v>
      </c>
      <c r="F192" s="4">
        <v>90000</v>
      </c>
      <c r="G192" s="5" t="s">
        <v>22</v>
      </c>
      <c r="H192" s="4">
        <v>90000</v>
      </c>
      <c r="I192" s="2">
        <f>H192*83.12</f>
        <v>7480800</v>
      </c>
      <c r="J192" s="5" t="s">
        <v>35</v>
      </c>
      <c r="K192" s="8">
        <v>0</v>
      </c>
      <c r="L192" s="5" t="s">
        <v>35</v>
      </c>
      <c r="M192" s="5" t="s">
        <v>29</v>
      </c>
      <c r="N192" s="5" t="str">
        <f>IF(K192=0,"Onsite",IF(K192=50,"Hybrid","Remote"))</f>
        <v>Onsite</v>
      </c>
      <c r="O192" s="5">
        <f>IF(C192="Entrylevel",1,IF(C192="Intermediate",2,IF(C192="Senior",3,4)))</f>
        <v>2</v>
      </c>
    </row>
    <row r="193" spans="1:15" ht="14.4" x14ac:dyDescent="0.3">
      <c r="A193" s="2" t="s">
        <v>427</v>
      </c>
      <c r="B193" s="2">
        <v>2022</v>
      </c>
      <c r="C193" s="3" t="s">
        <v>13</v>
      </c>
      <c r="D193" s="3" t="s">
        <v>14</v>
      </c>
      <c r="E193" s="3" t="s">
        <v>61</v>
      </c>
      <c r="F193" s="2">
        <v>170000</v>
      </c>
      <c r="G193" s="3" t="s">
        <v>22</v>
      </c>
      <c r="H193" s="2">
        <v>170000</v>
      </c>
      <c r="I193" s="2">
        <f>H193*83.12</f>
        <v>14130400</v>
      </c>
      <c r="J193" s="3" t="s">
        <v>35</v>
      </c>
      <c r="K193" s="7">
        <v>100</v>
      </c>
      <c r="L193" s="3" t="s">
        <v>35</v>
      </c>
      <c r="M193" s="3" t="s">
        <v>29</v>
      </c>
      <c r="N193" s="5" t="str">
        <f>IF(K193=0,"Onsite",IF(K193=50,"Hybrid","Remote"))</f>
        <v>Remote</v>
      </c>
      <c r="O193" s="5">
        <f>IF(C193="Entrylevel",1,IF(C193="Intermediate",2,IF(C193="Senior",3,4)))</f>
        <v>2</v>
      </c>
    </row>
    <row r="194" spans="1:15" ht="14.4" x14ac:dyDescent="0.3">
      <c r="A194" s="4" t="s">
        <v>428</v>
      </c>
      <c r="B194" s="4">
        <v>2022</v>
      </c>
      <c r="C194" s="5" t="s">
        <v>13</v>
      </c>
      <c r="D194" s="5" t="s">
        <v>14</v>
      </c>
      <c r="E194" s="5" t="s">
        <v>61</v>
      </c>
      <c r="F194" s="4">
        <v>150000</v>
      </c>
      <c r="G194" s="5" t="s">
        <v>22</v>
      </c>
      <c r="H194" s="4">
        <v>150000</v>
      </c>
      <c r="I194" s="2">
        <f>H194*83.12</f>
        <v>12468000</v>
      </c>
      <c r="J194" s="5" t="s">
        <v>35</v>
      </c>
      <c r="K194" s="8">
        <v>100</v>
      </c>
      <c r="L194" s="5" t="s">
        <v>35</v>
      </c>
      <c r="M194" s="5" t="s">
        <v>29</v>
      </c>
      <c r="N194" s="5" t="str">
        <f>IF(K194=0,"Onsite",IF(K194=50,"Hybrid","Remote"))</f>
        <v>Remote</v>
      </c>
      <c r="O194" s="5">
        <f>IF(C194="Entrylevel",1,IF(C194="Intermediate",2,IF(C194="Senior",3,4)))</f>
        <v>2</v>
      </c>
    </row>
    <row r="195" spans="1:15" ht="14.4" x14ac:dyDescent="0.3">
      <c r="A195" s="4" t="s">
        <v>19</v>
      </c>
      <c r="B195" s="4">
        <v>2020</v>
      </c>
      <c r="C195" s="5" t="s">
        <v>20</v>
      </c>
      <c r="D195" s="5" t="s">
        <v>14</v>
      </c>
      <c r="E195" s="5" t="s">
        <v>21</v>
      </c>
      <c r="F195" s="4">
        <v>260000</v>
      </c>
      <c r="G195" s="5" t="s">
        <v>22</v>
      </c>
      <c r="H195" s="4">
        <v>260000</v>
      </c>
      <c r="I195" s="2">
        <f>H195*83.12</f>
        <v>21611200</v>
      </c>
      <c r="J195" s="5" t="s">
        <v>23</v>
      </c>
      <c r="K195" s="8">
        <v>0</v>
      </c>
      <c r="L195" s="5" t="s">
        <v>23</v>
      </c>
      <c r="M195" s="5" t="s">
        <v>24</v>
      </c>
      <c r="N195" s="5" t="str">
        <f>IF(K195=0,"Onsite",IF(K195=50,"Hybrid","Remote"))</f>
        <v>Onsite</v>
      </c>
      <c r="O195" s="5">
        <f>IF(C195="Entrylevel",1,IF(C195="Intermediate",2,IF(C195="Senior",3,4)))</f>
        <v>3</v>
      </c>
    </row>
    <row r="196" spans="1:15" ht="14.4" x14ac:dyDescent="0.3">
      <c r="A196" s="2" t="s">
        <v>25</v>
      </c>
      <c r="B196" s="2">
        <v>2020</v>
      </c>
      <c r="C196" s="3" t="s">
        <v>20</v>
      </c>
      <c r="D196" s="3" t="s">
        <v>14</v>
      </c>
      <c r="E196" s="3" t="s">
        <v>26</v>
      </c>
      <c r="F196" s="2">
        <v>85000</v>
      </c>
      <c r="G196" s="3" t="s">
        <v>27</v>
      </c>
      <c r="H196" s="2">
        <v>109024</v>
      </c>
      <c r="I196" s="2">
        <f>H196*83.12</f>
        <v>9062074.8800000008</v>
      </c>
      <c r="J196" s="3" t="s">
        <v>28</v>
      </c>
      <c r="K196" s="7">
        <v>50</v>
      </c>
      <c r="L196" s="3" t="s">
        <v>28</v>
      </c>
      <c r="M196" s="3" t="s">
        <v>29</v>
      </c>
      <c r="N196" s="5" t="str">
        <f>IF(K196=0,"Onsite",IF(K196=50,"Hybrid","Remote"))</f>
        <v>Hybrid</v>
      </c>
      <c r="O196" s="5">
        <f>IF(C196="Entrylevel",1,IF(C196="Intermediate",2,IF(C196="Senior",3,4)))</f>
        <v>3</v>
      </c>
    </row>
    <row r="197" spans="1:15" ht="14.4" x14ac:dyDescent="0.3">
      <c r="A197" s="2" t="s">
        <v>33</v>
      </c>
      <c r="B197" s="2">
        <v>2020</v>
      </c>
      <c r="C197" s="3" t="s">
        <v>20</v>
      </c>
      <c r="D197" s="3" t="s">
        <v>14</v>
      </c>
      <c r="E197" s="3" t="s">
        <v>34</v>
      </c>
      <c r="F197" s="2">
        <v>150000</v>
      </c>
      <c r="G197" s="3" t="s">
        <v>22</v>
      </c>
      <c r="H197" s="2">
        <v>150000</v>
      </c>
      <c r="I197" s="2">
        <f>H197*83.12</f>
        <v>12468000</v>
      </c>
      <c r="J197" s="3" t="s">
        <v>35</v>
      </c>
      <c r="K197" s="7">
        <v>50</v>
      </c>
      <c r="L197" s="3" t="s">
        <v>35</v>
      </c>
      <c r="M197" s="3" t="s">
        <v>18</v>
      </c>
      <c r="N197" s="5" t="str">
        <f>IF(K197=0,"Onsite",IF(K197=50,"Hybrid","Remote"))</f>
        <v>Hybrid</v>
      </c>
      <c r="O197" s="5">
        <f>IF(C197="Entrylevel",1,IF(C197="Intermediate",2,IF(C197="Senior",3,4)))</f>
        <v>3</v>
      </c>
    </row>
    <row r="198" spans="1:15" ht="14.4" x14ac:dyDescent="0.3">
      <c r="A198" s="2" t="s">
        <v>39</v>
      </c>
      <c r="B198" s="2">
        <v>2020</v>
      </c>
      <c r="C198" s="3" t="s">
        <v>20</v>
      </c>
      <c r="D198" s="3" t="s">
        <v>14</v>
      </c>
      <c r="E198" s="3" t="s">
        <v>40</v>
      </c>
      <c r="F198" s="2">
        <v>190000</v>
      </c>
      <c r="G198" s="3" t="s">
        <v>22</v>
      </c>
      <c r="H198" s="2">
        <v>190000</v>
      </c>
      <c r="I198" s="2">
        <f>H198*83.12</f>
        <v>15792800</v>
      </c>
      <c r="J198" s="3" t="s">
        <v>35</v>
      </c>
      <c r="K198" s="7">
        <v>100</v>
      </c>
      <c r="L198" s="3" t="s">
        <v>35</v>
      </c>
      <c r="M198" s="3" t="s">
        <v>24</v>
      </c>
      <c r="N198" s="5" t="str">
        <f>IF(K198=0,"Onsite",IF(K198=50,"Hybrid","Remote"))</f>
        <v>Remote</v>
      </c>
      <c r="O198" s="5">
        <f>IF(C198="Entrylevel",1,IF(C198="Intermediate",2,IF(C198="Senior",3,4)))</f>
        <v>3</v>
      </c>
    </row>
    <row r="199" spans="1:15" ht="14.4" x14ac:dyDescent="0.3">
      <c r="A199" s="4" t="s">
        <v>46</v>
      </c>
      <c r="B199" s="4">
        <v>2020</v>
      </c>
      <c r="C199" s="5" t="s">
        <v>20</v>
      </c>
      <c r="D199" s="5" t="s">
        <v>14</v>
      </c>
      <c r="E199" s="5" t="s">
        <v>47</v>
      </c>
      <c r="F199" s="4">
        <v>125000</v>
      </c>
      <c r="G199" s="5" t="s">
        <v>22</v>
      </c>
      <c r="H199" s="4">
        <v>125000</v>
      </c>
      <c r="I199" s="2">
        <f>H199*83.12</f>
        <v>10390000</v>
      </c>
      <c r="J199" s="5" t="s">
        <v>48</v>
      </c>
      <c r="K199" s="8">
        <v>50</v>
      </c>
      <c r="L199" s="5" t="s">
        <v>48</v>
      </c>
      <c r="M199" s="5" t="s">
        <v>24</v>
      </c>
      <c r="N199" s="5" t="str">
        <f>IF(K199=0,"Onsite",IF(K199=50,"Hybrid","Remote"))</f>
        <v>Hybrid</v>
      </c>
      <c r="O199" s="5">
        <f>IF(C199="Entrylevel",1,IF(C199="Intermediate",2,IF(C199="Senior",3,4)))</f>
        <v>3</v>
      </c>
    </row>
    <row r="200" spans="1:15" ht="14.4" x14ac:dyDescent="0.3">
      <c r="A200" s="4" t="s">
        <v>63</v>
      </c>
      <c r="B200" s="4">
        <v>2020</v>
      </c>
      <c r="C200" s="5" t="s">
        <v>20</v>
      </c>
      <c r="D200" s="5" t="s">
        <v>14</v>
      </c>
      <c r="E200" s="5" t="s">
        <v>26</v>
      </c>
      <c r="F200" s="4">
        <v>100000</v>
      </c>
      <c r="G200" s="5" t="s">
        <v>16</v>
      </c>
      <c r="H200" s="4">
        <v>114047</v>
      </c>
      <c r="I200" s="2">
        <f>H200*83.12</f>
        <v>9479586.6400000006</v>
      </c>
      <c r="J200" s="5" t="s">
        <v>64</v>
      </c>
      <c r="K200" s="8">
        <v>100</v>
      </c>
      <c r="L200" s="5" t="s">
        <v>28</v>
      </c>
      <c r="M200" s="5" t="s">
        <v>24</v>
      </c>
      <c r="N200" s="5" t="str">
        <f>IF(K200=0,"Onsite",IF(K200=50,"Hybrid","Remote"))</f>
        <v>Remote</v>
      </c>
      <c r="O200" s="5">
        <f>IF(C200="Entrylevel",1,IF(C200="Intermediate",2,IF(C200="Senior",3,4)))</f>
        <v>3</v>
      </c>
    </row>
    <row r="201" spans="1:15" ht="14.4" x14ac:dyDescent="0.3">
      <c r="A201" s="2" t="s">
        <v>73</v>
      </c>
      <c r="B201" s="2">
        <v>2020</v>
      </c>
      <c r="C201" s="3" t="s">
        <v>20</v>
      </c>
      <c r="D201" s="3" t="s">
        <v>14</v>
      </c>
      <c r="E201" s="3" t="s">
        <v>61</v>
      </c>
      <c r="F201" s="2">
        <v>42000</v>
      </c>
      <c r="G201" s="3" t="s">
        <v>16</v>
      </c>
      <c r="H201" s="2">
        <v>47899</v>
      </c>
      <c r="I201" s="2">
        <f>H201*83.12</f>
        <v>3981364.8800000004</v>
      </c>
      <c r="J201" s="3" t="s">
        <v>74</v>
      </c>
      <c r="K201" s="7">
        <v>50</v>
      </c>
      <c r="L201" s="3" t="s">
        <v>74</v>
      </c>
      <c r="M201" s="3" t="s">
        <v>18</v>
      </c>
      <c r="N201" s="5" t="str">
        <f>IF(K201=0,"Onsite",IF(K201=50,"Hybrid","Remote"))</f>
        <v>Hybrid</v>
      </c>
      <c r="O201" s="5">
        <f>IF(C201="Entrylevel",1,IF(C201="Intermediate",2,IF(C201="Senior",3,4)))</f>
        <v>3</v>
      </c>
    </row>
    <row r="202" spans="1:15" ht="14.4" x14ac:dyDescent="0.3">
      <c r="A202" s="4" t="s">
        <v>85</v>
      </c>
      <c r="B202" s="4">
        <v>2020</v>
      </c>
      <c r="C202" s="5" t="s">
        <v>20</v>
      </c>
      <c r="D202" s="5" t="s">
        <v>14</v>
      </c>
      <c r="E202" s="5" t="s">
        <v>61</v>
      </c>
      <c r="F202" s="4">
        <v>720000</v>
      </c>
      <c r="G202" s="5" t="s">
        <v>86</v>
      </c>
      <c r="H202" s="4">
        <v>33511</v>
      </c>
      <c r="I202" s="2">
        <f>H202*83.12</f>
        <v>2785434.3200000003</v>
      </c>
      <c r="J202" s="5" t="s">
        <v>87</v>
      </c>
      <c r="K202" s="8">
        <v>0</v>
      </c>
      <c r="L202" s="5" t="s">
        <v>87</v>
      </c>
      <c r="M202" s="5" t="s">
        <v>24</v>
      </c>
      <c r="N202" s="5" t="str">
        <f>IF(K202=0,"Onsite",IF(K202=50,"Hybrid","Remote"))</f>
        <v>Onsite</v>
      </c>
      <c r="O202" s="5">
        <f>IF(C202="Entrylevel",1,IF(C202="Intermediate",2,IF(C202="Senior",3,4)))</f>
        <v>3</v>
      </c>
    </row>
    <row r="203" spans="1:15" ht="14.4" x14ac:dyDescent="0.3">
      <c r="A203" s="4" t="s">
        <v>90</v>
      </c>
      <c r="B203" s="4">
        <v>2020</v>
      </c>
      <c r="C203" s="5" t="s">
        <v>20</v>
      </c>
      <c r="D203" s="5" t="s">
        <v>14</v>
      </c>
      <c r="E203" s="5" t="s">
        <v>91</v>
      </c>
      <c r="F203" s="4">
        <v>157000</v>
      </c>
      <c r="G203" s="5" t="s">
        <v>92</v>
      </c>
      <c r="H203" s="4">
        <v>117104</v>
      </c>
      <c r="I203" s="2">
        <f>H203*83.12</f>
        <v>9733684.4800000004</v>
      </c>
      <c r="J203" s="5" t="s">
        <v>93</v>
      </c>
      <c r="K203" s="8">
        <v>50</v>
      </c>
      <c r="L203" s="5" t="s">
        <v>93</v>
      </c>
      <c r="M203" s="5" t="s">
        <v>18</v>
      </c>
      <c r="N203" s="5" t="str">
        <f>IF(K203=0,"Onsite",IF(K203=50,"Hybrid","Remote"))</f>
        <v>Hybrid</v>
      </c>
      <c r="O203" s="5">
        <f>IF(C203="Entrylevel",1,IF(C203="Intermediate",2,IF(C203="Senior",3,4)))</f>
        <v>3</v>
      </c>
    </row>
    <row r="204" spans="1:15" ht="14.4" x14ac:dyDescent="0.3">
      <c r="A204" s="2" t="s">
        <v>97</v>
      </c>
      <c r="B204" s="2">
        <v>2020</v>
      </c>
      <c r="C204" s="3" t="s">
        <v>20</v>
      </c>
      <c r="D204" s="3" t="s">
        <v>14</v>
      </c>
      <c r="E204" s="3" t="s">
        <v>15</v>
      </c>
      <c r="F204" s="2">
        <v>60000</v>
      </c>
      <c r="G204" s="3" t="s">
        <v>16</v>
      </c>
      <c r="H204" s="2">
        <v>68428</v>
      </c>
      <c r="I204" s="2">
        <f>H204*83.12</f>
        <v>5687735.3600000003</v>
      </c>
      <c r="J204" s="3" t="s">
        <v>74</v>
      </c>
      <c r="K204" s="7">
        <v>100</v>
      </c>
      <c r="L204" s="3" t="s">
        <v>35</v>
      </c>
      <c r="M204" s="3" t="s">
        <v>18</v>
      </c>
      <c r="N204" s="5" t="str">
        <f>IF(K204=0,"Onsite",IF(K204=50,"Hybrid","Remote"))</f>
        <v>Remote</v>
      </c>
      <c r="O204" s="5">
        <f>IF(C204="Entrylevel",1,IF(C204="Intermediate",2,IF(C204="Senior",3,4)))</f>
        <v>3</v>
      </c>
    </row>
    <row r="205" spans="1:15" ht="14.4" x14ac:dyDescent="0.3">
      <c r="A205" s="4" t="s">
        <v>119</v>
      </c>
      <c r="B205" s="4">
        <v>2020</v>
      </c>
      <c r="C205" s="5" t="s">
        <v>20</v>
      </c>
      <c r="D205" s="5" t="s">
        <v>14</v>
      </c>
      <c r="E205" s="5" t="s">
        <v>61</v>
      </c>
      <c r="F205" s="4">
        <v>188000</v>
      </c>
      <c r="G205" s="5" t="s">
        <v>22</v>
      </c>
      <c r="H205" s="4">
        <v>188000</v>
      </c>
      <c r="I205" s="2">
        <f>H205*83.12</f>
        <v>15626560</v>
      </c>
      <c r="J205" s="5" t="s">
        <v>35</v>
      </c>
      <c r="K205" s="8">
        <v>100</v>
      </c>
      <c r="L205" s="5" t="s">
        <v>35</v>
      </c>
      <c r="M205" s="5" t="s">
        <v>18</v>
      </c>
      <c r="N205" s="5" t="str">
        <f>IF(K205=0,"Onsite",IF(K205=50,"Hybrid","Remote"))</f>
        <v>Remote</v>
      </c>
      <c r="O205" s="5">
        <f>IF(C205="Entrylevel",1,IF(C205="Intermediate",2,IF(C205="Senior",3,4)))</f>
        <v>3</v>
      </c>
    </row>
    <row r="206" spans="1:15" ht="14.4" x14ac:dyDescent="0.3">
      <c r="A206" s="2" t="s">
        <v>129</v>
      </c>
      <c r="B206" s="2">
        <v>2020</v>
      </c>
      <c r="C206" s="3" t="s">
        <v>20</v>
      </c>
      <c r="D206" s="3" t="s">
        <v>130</v>
      </c>
      <c r="E206" s="3" t="s">
        <v>131</v>
      </c>
      <c r="F206" s="2">
        <v>60000</v>
      </c>
      <c r="G206" s="3" t="s">
        <v>22</v>
      </c>
      <c r="H206" s="2">
        <v>60000</v>
      </c>
      <c r="I206" s="2">
        <f>H206*83.12</f>
        <v>4987200</v>
      </c>
      <c r="J206" s="3" t="s">
        <v>132</v>
      </c>
      <c r="K206" s="7">
        <v>100</v>
      </c>
      <c r="L206" s="3" t="s">
        <v>35</v>
      </c>
      <c r="M206" s="3" t="s">
        <v>24</v>
      </c>
      <c r="N206" s="5" t="str">
        <f>IF(K206=0,"Onsite",IF(K206=50,"Hybrid","Remote"))</f>
        <v>Remote</v>
      </c>
      <c r="O206" s="5">
        <f>IF(C206="Entrylevel",1,IF(C206="Intermediate",2,IF(C206="Senior",3,4)))</f>
        <v>3</v>
      </c>
    </row>
    <row r="207" spans="1:15" ht="14.4" x14ac:dyDescent="0.3">
      <c r="A207" s="4" t="s">
        <v>133</v>
      </c>
      <c r="B207" s="4">
        <v>2020</v>
      </c>
      <c r="C207" s="5" t="s">
        <v>20</v>
      </c>
      <c r="D207" s="5" t="s">
        <v>14</v>
      </c>
      <c r="E207" s="5" t="s">
        <v>134</v>
      </c>
      <c r="F207" s="4">
        <v>130000</v>
      </c>
      <c r="G207" s="5" t="s">
        <v>16</v>
      </c>
      <c r="H207" s="4">
        <v>148261</v>
      </c>
      <c r="I207" s="2">
        <f>H207*83.12</f>
        <v>12323454.32</v>
      </c>
      <c r="J207" s="5" t="s">
        <v>17</v>
      </c>
      <c r="K207" s="8">
        <v>100</v>
      </c>
      <c r="L207" s="5" t="s">
        <v>17</v>
      </c>
      <c r="M207" s="5" t="s">
        <v>29</v>
      </c>
      <c r="N207" s="5" t="str">
        <f>IF(K207=0,"Onsite",IF(K207=50,"Hybrid","Remote"))</f>
        <v>Remote</v>
      </c>
      <c r="O207" s="5">
        <f>IF(C207="Entrylevel",1,IF(C207="Intermediate",2,IF(C207="Senior",3,4)))</f>
        <v>3</v>
      </c>
    </row>
    <row r="208" spans="1:15" ht="14.4" x14ac:dyDescent="0.3">
      <c r="A208" s="2" t="s">
        <v>137</v>
      </c>
      <c r="B208" s="2">
        <v>2020</v>
      </c>
      <c r="C208" s="3" t="s">
        <v>20</v>
      </c>
      <c r="D208" s="3" t="s">
        <v>14</v>
      </c>
      <c r="E208" s="3" t="s">
        <v>15</v>
      </c>
      <c r="F208" s="2">
        <v>120000</v>
      </c>
      <c r="G208" s="3" t="s">
        <v>22</v>
      </c>
      <c r="H208" s="2">
        <v>120000</v>
      </c>
      <c r="I208" s="2">
        <f>H208*83.12</f>
        <v>9974400</v>
      </c>
      <c r="J208" s="3" t="s">
        <v>35</v>
      </c>
      <c r="K208" s="7">
        <v>50</v>
      </c>
      <c r="L208" s="3" t="s">
        <v>35</v>
      </c>
      <c r="M208" s="3" t="s">
        <v>18</v>
      </c>
      <c r="N208" s="5" t="str">
        <f>IF(K208=0,"Onsite",IF(K208=50,"Hybrid","Remote"))</f>
        <v>Hybrid</v>
      </c>
      <c r="O208" s="5">
        <f>IF(C208="Entrylevel",1,IF(C208="Intermediate",2,IF(C208="Senior",3,4)))</f>
        <v>3</v>
      </c>
    </row>
    <row r="209" spans="1:15" ht="14.4" x14ac:dyDescent="0.3">
      <c r="A209" s="4" t="s">
        <v>143</v>
      </c>
      <c r="B209" s="4">
        <v>2020</v>
      </c>
      <c r="C209" s="5" t="s">
        <v>20</v>
      </c>
      <c r="D209" s="5" t="s">
        <v>14</v>
      </c>
      <c r="E209" s="5" t="s">
        <v>15</v>
      </c>
      <c r="F209" s="4">
        <v>412000</v>
      </c>
      <c r="G209" s="5" t="s">
        <v>22</v>
      </c>
      <c r="H209" s="4">
        <v>412000</v>
      </c>
      <c r="I209" s="2">
        <f>H209*83.12</f>
        <v>34245440</v>
      </c>
      <c r="J209" s="5" t="s">
        <v>35</v>
      </c>
      <c r="K209" s="8">
        <v>100</v>
      </c>
      <c r="L209" s="5" t="s">
        <v>35</v>
      </c>
      <c r="M209" s="5" t="s">
        <v>18</v>
      </c>
      <c r="N209" s="5" t="str">
        <f>IF(K209=0,"Onsite",IF(K209=50,"Hybrid","Remote"))</f>
        <v>Remote</v>
      </c>
      <c r="O209" s="5">
        <f>IF(C209="Entrylevel",1,IF(C209="Intermediate",2,IF(C209="Senior",3,4)))</f>
        <v>3</v>
      </c>
    </row>
    <row r="210" spans="1:15" ht="14.4" x14ac:dyDescent="0.3">
      <c r="A210" s="2" t="s">
        <v>144</v>
      </c>
      <c r="B210" s="2">
        <v>2020</v>
      </c>
      <c r="C210" s="3" t="s">
        <v>20</v>
      </c>
      <c r="D210" s="3" t="s">
        <v>14</v>
      </c>
      <c r="E210" s="3" t="s">
        <v>34</v>
      </c>
      <c r="F210" s="2">
        <v>40000</v>
      </c>
      <c r="G210" s="3" t="s">
        <v>16</v>
      </c>
      <c r="H210" s="2">
        <v>45618</v>
      </c>
      <c r="I210" s="2">
        <f>H210*83.12</f>
        <v>3791768.16</v>
      </c>
      <c r="J210" s="3" t="s">
        <v>145</v>
      </c>
      <c r="K210" s="7">
        <v>100</v>
      </c>
      <c r="L210" s="3" t="s">
        <v>145</v>
      </c>
      <c r="M210" s="3" t="s">
        <v>24</v>
      </c>
      <c r="N210" s="5" t="str">
        <f>IF(K210=0,"Onsite",IF(K210=50,"Hybrid","Remote"))</f>
        <v>Remote</v>
      </c>
      <c r="O210" s="5">
        <f>IF(C210="Entrylevel",1,IF(C210="Intermediate",2,IF(C210="Senior",3,4)))</f>
        <v>3</v>
      </c>
    </row>
    <row r="211" spans="1:15" ht="14.4" x14ac:dyDescent="0.3">
      <c r="A211" s="4" t="s">
        <v>148</v>
      </c>
      <c r="B211" s="4">
        <v>2020</v>
      </c>
      <c r="C211" s="5" t="s">
        <v>20</v>
      </c>
      <c r="D211" s="5" t="s">
        <v>14</v>
      </c>
      <c r="E211" s="5" t="s">
        <v>149</v>
      </c>
      <c r="F211" s="4">
        <v>190200</v>
      </c>
      <c r="G211" s="5" t="s">
        <v>22</v>
      </c>
      <c r="H211" s="4">
        <v>190200</v>
      </c>
      <c r="I211" s="2">
        <f>H211*83.12</f>
        <v>15809424</v>
      </c>
      <c r="J211" s="5" t="s">
        <v>35</v>
      </c>
      <c r="K211" s="8">
        <v>100</v>
      </c>
      <c r="L211" s="5" t="s">
        <v>35</v>
      </c>
      <c r="M211" s="5" t="s">
        <v>29</v>
      </c>
      <c r="N211" s="5" t="str">
        <f>IF(K211=0,"Onsite",IF(K211=50,"Hybrid","Remote"))</f>
        <v>Remote</v>
      </c>
      <c r="O211" s="5">
        <f>IF(C211="Entrylevel",1,IF(C211="Intermediate",2,IF(C211="Senior",3,4)))</f>
        <v>3</v>
      </c>
    </row>
    <row r="212" spans="1:15" ht="14.4" x14ac:dyDescent="0.3">
      <c r="A212" s="4" t="s">
        <v>151</v>
      </c>
      <c r="B212" s="4">
        <v>2020</v>
      </c>
      <c r="C212" s="5" t="s">
        <v>20</v>
      </c>
      <c r="D212" s="5" t="s">
        <v>14</v>
      </c>
      <c r="E212" s="5" t="s">
        <v>15</v>
      </c>
      <c r="F212" s="4">
        <v>80000</v>
      </c>
      <c r="G212" s="5" t="s">
        <v>16</v>
      </c>
      <c r="H212" s="4">
        <v>91237</v>
      </c>
      <c r="I212" s="2">
        <f>H212*83.12</f>
        <v>7583619.4400000004</v>
      </c>
      <c r="J212" s="5" t="s">
        <v>101</v>
      </c>
      <c r="K212" s="8">
        <v>0</v>
      </c>
      <c r="L212" s="5" t="s">
        <v>101</v>
      </c>
      <c r="M212" s="5" t="s">
        <v>24</v>
      </c>
      <c r="N212" s="5" t="str">
        <f>IF(K212=0,"Onsite",IF(K212=50,"Hybrid","Remote"))</f>
        <v>Onsite</v>
      </c>
      <c r="O212" s="5">
        <f>IF(C212="Entrylevel",1,IF(C212="Intermediate",2,IF(C212="Senior",3,4)))</f>
        <v>3</v>
      </c>
    </row>
    <row r="213" spans="1:15" ht="14.4" x14ac:dyDescent="0.3">
      <c r="A213" s="4" t="s">
        <v>159</v>
      </c>
      <c r="B213" s="4">
        <v>2021</v>
      </c>
      <c r="C213" s="5" t="s">
        <v>20</v>
      </c>
      <c r="D213" s="5" t="s">
        <v>14</v>
      </c>
      <c r="E213" s="5" t="s">
        <v>15</v>
      </c>
      <c r="F213" s="4">
        <v>45000</v>
      </c>
      <c r="G213" s="5" t="s">
        <v>16</v>
      </c>
      <c r="H213" s="4">
        <v>53192</v>
      </c>
      <c r="I213" s="2">
        <f>H213*83.12</f>
        <v>4421319.04</v>
      </c>
      <c r="J213" s="5" t="s">
        <v>50</v>
      </c>
      <c r="K213" s="8">
        <v>50</v>
      </c>
      <c r="L213" s="5" t="s">
        <v>50</v>
      </c>
      <c r="M213" s="5" t="s">
        <v>18</v>
      </c>
      <c r="N213" s="5" t="str">
        <f>IF(K213=0,"Onsite",IF(K213=50,"Hybrid","Remote"))</f>
        <v>Hybrid</v>
      </c>
      <c r="O213" s="5">
        <f>IF(C213="Entrylevel",1,IF(C213="Intermediate",2,IF(C213="Senior",3,4)))</f>
        <v>3</v>
      </c>
    </row>
    <row r="214" spans="1:15" ht="14.4" x14ac:dyDescent="0.3">
      <c r="A214" s="2" t="s">
        <v>165</v>
      </c>
      <c r="B214" s="2">
        <v>2021</v>
      </c>
      <c r="C214" s="3" t="s">
        <v>20</v>
      </c>
      <c r="D214" s="3" t="s">
        <v>14</v>
      </c>
      <c r="E214" s="3" t="s">
        <v>166</v>
      </c>
      <c r="F214" s="2">
        <v>67000</v>
      </c>
      <c r="G214" s="3" t="s">
        <v>16</v>
      </c>
      <c r="H214" s="2">
        <v>79197</v>
      </c>
      <c r="I214" s="2">
        <f>H214*83.12</f>
        <v>6582854.6400000006</v>
      </c>
      <c r="J214" s="3" t="s">
        <v>17</v>
      </c>
      <c r="K214" s="7">
        <v>100</v>
      </c>
      <c r="L214" s="3" t="s">
        <v>17</v>
      </c>
      <c r="M214" s="3" t="s">
        <v>18</v>
      </c>
      <c r="N214" s="5" t="str">
        <f>IF(K214=0,"Onsite",IF(K214=50,"Hybrid","Remote"))</f>
        <v>Remote</v>
      </c>
      <c r="O214" s="5">
        <f>IF(C214="Entrylevel",1,IF(C214="Intermediate",2,IF(C214="Senior",3,4)))</f>
        <v>3</v>
      </c>
    </row>
    <row r="215" spans="1:15" ht="14.4" x14ac:dyDescent="0.3">
      <c r="A215" s="2" t="s">
        <v>176</v>
      </c>
      <c r="B215" s="2">
        <v>2021</v>
      </c>
      <c r="C215" s="3" t="s">
        <v>20</v>
      </c>
      <c r="D215" s="3" t="s">
        <v>14</v>
      </c>
      <c r="E215" s="3" t="s">
        <v>56</v>
      </c>
      <c r="F215" s="2">
        <v>170000</v>
      </c>
      <c r="G215" s="3" t="s">
        <v>22</v>
      </c>
      <c r="H215" s="2">
        <v>170000</v>
      </c>
      <c r="I215" s="2">
        <f>H215*83.12</f>
        <v>14130400</v>
      </c>
      <c r="J215" s="3" t="s">
        <v>35</v>
      </c>
      <c r="K215" s="7">
        <v>100</v>
      </c>
      <c r="L215" s="3" t="s">
        <v>35</v>
      </c>
      <c r="M215" s="3" t="s">
        <v>18</v>
      </c>
      <c r="N215" s="5" t="str">
        <f>IF(K215=0,"Onsite",IF(K215=50,"Hybrid","Remote"))</f>
        <v>Remote</v>
      </c>
      <c r="O215" s="5">
        <f>IF(C215="Entrylevel",1,IF(C215="Intermediate",2,IF(C215="Senior",3,4)))</f>
        <v>3</v>
      </c>
    </row>
    <row r="216" spans="1:15" ht="14.4" x14ac:dyDescent="0.3">
      <c r="A216" s="4" t="s">
        <v>177</v>
      </c>
      <c r="B216" s="4">
        <v>2021</v>
      </c>
      <c r="C216" s="5" t="s">
        <v>20</v>
      </c>
      <c r="D216" s="5" t="s">
        <v>14</v>
      </c>
      <c r="E216" s="5" t="s">
        <v>38</v>
      </c>
      <c r="F216" s="4">
        <v>80000</v>
      </c>
      <c r="G216" s="5" t="s">
        <v>22</v>
      </c>
      <c r="H216" s="4">
        <v>80000</v>
      </c>
      <c r="I216" s="2">
        <f>H216*83.12</f>
        <v>6649600</v>
      </c>
      <c r="J216" s="5" t="s">
        <v>178</v>
      </c>
      <c r="K216" s="8">
        <v>100</v>
      </c>
      <c r="L216" s="5" t="s">
        <v>35</v>
      </c>
      <c r="M216" s="5" t="s">
        <v>24</v>
      </c>
      <c r="N216" s="5" t="str">
        <f>IF(K216=0,"Onsite",IF(K216=50,"Hybrid","Remote"))</f>
        <v>Remote</v>
      </c>
      <c r="O216" s="5">
        <f>IF(C216="Entrylevel",1,IF(C216="Intermediate",2,IF(C216="Senior",3,4)))</f>
        <v>3</v>
      </c>
    </row>
    <row r="217" spans="1:15" ht="14.4" x14ac:dyDescent="0.3">
      <c r="A217" s="2" t="s">
        <v>179</v>
      </c>
      <c r="B217" s="2">
        <v>2021</v>
      </c>
      <c r="C217" s="3" t="s">
        <v>20</v>
      </c>
      <c r="D217" s="3" t="s">
        <v>14</v>
      </c>
      <c r="E217" s="3" t="s">
        <v>180</v>
      </c>
      <c r="F217" s="2">
        <v>75000</v>
      </c>
      <c r="G217" s="3" t="s">
        <v>16</v>
      </c>
      <c r="H217" s="2">
        <v>88654</v>
      </c>
      <c r="I217" s="2">
        <f>H217*83.12</f>
        <v>7368920.4800000004</v>
      </c>
      <c r="J217" s="3" t="s">
        <v>74</v>
      </c>
      <c r="K217" s="7">
        <v>100</v>
      </c>
      <c r="L217" s="3" t="s">
        <v>127</v>
      </c>
      <c r="M217" s="3" t="s">
        <v>18</v>
      </c>
      <c r="N217" s="5" t="str">
        <f>IF(K217=0,"Onsite",IF(K217=50,"Hybrid","Remote"))</f>
        <v>Remote</v>
      </c>
      <c r="O217" s="5">
        <f>IF(C217="Entrylevel",1,IF(C217="Intermediate",2,IF(C217="Senior",3,4)))</f>
        <v>3</v>
      </c>
    </row>
    <row r="218" spans="1:15" ht="14.4" x14ac:dyDescent="0.3">
      <c r="A218" s="4" t="s">
        <v>183</v>
      </c>
      <c r="B218" s="4">
        <v>2021</v>
      </c>
      <c r="C218" s="5" t="s">
        <v>20</v>
      </c>
      <c r="D218" s="5" t="s">
        <v>14</v>
      </c>
      <c r="E218" s="5" t="s">
        <v>47</v>
      </c>
      <c r="F218" s="4">
        <v>276000</v>
      </c>
      <c r="G218" s="5" t="s">
        <v>22</v>
      </c>
      <c r="H218" s="4">
        <v>276000</v>
      </c>
      <c r="I218" s="2">
        <f>H218*83.12</f>
        <v>22941120</v>
      </c>
      <c r="J218" s="5" t="s">
        <v>35</v>
      </c>
      <c r="K218" s="8">
        <v>0</v>
      </c>
      <c r="L218" s="5" t="s">
        <v>35</v>
      </c>
      <c r="M218" s="5" t="s">
        <v>18</v>
      </c>
      <c r="N218" s="5" t="str">
        <f>IF(K218=0,"Onsite",IF(K218=50,"Hybrid","Remote"))</f>
        <v>Onsite</v>
      </c>
      <c r="O218" s="5">
        <f>IF(C218="Entrylevel",1,IF(C218="Intermediate",2,IF(C218="Senior",3,4)))</f>
        <v>3</v>
      </c>
    </row>
    <row r="219" spans="1:15" ht="14.4" x14ac:dyDescent="0.3">
      <c r="A219" s="4" t="s">
        <v>197</v>
      </c>
      <c r="B219" s="4">
        <v>2021</v>
      </c>
      <c r="C219" s="5" t="s">
        <v>20</v>
      </c>
      <c r="D219" s="5" t="s">
        <v>14</v>
      </c>
      <c r="E219" s="5" t="s">
        <v>61</v>
      </c>
      <c r="F219" s="4">
        <v>150000</v>
      </c>
      <c r="G219" s="5" t="s">
        <v>22</v>
      </c>
      <c r="H219" s="4">
        <v>150000</v>
      </c>
      <c r="I219" s="2">
        <f>H219*83.12</f>
        <v>12468000</v>
      </c>
      <c r="J219" s="5" t="s">
        <v>35</v>
      </c>
      <c r="K219" s="8">
        <v>100</v>
      </c>
      <c r="L219" s="5" t="s">
        <v>35</v>
      </c>
      <c r="M219" s="5" t="s">
        <v>18</v>
      </c>
      <c r="N219" s="5" t="str">
        <f>IF(K219=0,"Onsite",IF(K219=50,"Hybrid","Remote"))</f>
        <v>Remote</v>
      </c>
      <c r="O219" s="5">
        <f>IF(C219="Entrylevel",1,IF(C219="Intermediate",2,IF(C219="Senior",3,4)))</f>
        <v>3</v>
      </c>
    </row>
    <row r="220" spans="1:15" ht="14.4" x14ac:dyDescent="0.3">
      <c r="A220" s="4" t="s">
        <v>203</v>
      </c>
      <c r="B220" s="4">
        <v>2021</v>
      </c>
      <c r="C220" s="5" t="s">
        <v>20</v>
      </c>
      <c r="D220" s="5" t="s">
        <v>14</v>
      </c>
      <c r="E220" s="5" t="s">
        <v>61</v>
      </c>
      <c r="F220" s="4">
        <v>115000</v>
      </c>
      <c r="G220" s="5" t="s">
        <v>22</v>
      </c>
      <c r="H220" s="4">
        <v>115000</v>
      </c>
      <c r="I220" s="2">
        <f>H220*83.12</f>
        <v>9558800</v>
      </c>
      <c r="J220" s="5" t="s">
        <v>35</v>
      </c>
      <c r="K220" s="8">
        <v>100</v>
      </c>
      <c r="L220" s="5" t="s">
        <v>35</v>
      </c>
      <c r="M220" s="5" t="s">
        <v>24</v>
      </c>
      <c r="N220" s="5" t="str">
        <f>IF(K220=0,"Onsite",IF(K220=50,"Hybrid","Remote"))</f>
        <v>Remote</v>
      </c>
      <c r="O220" s="5">
        <f>IF(C220="Entrylevel",1,IF(C220="Intermediate",2,IF(C220="Senior",3,4)))</f>
        <v>3</v>
      </c>
    </row>
    <row r="221" spans="1:15" ht="14.4" x14ac:dyDescent="0.3">
      <c r="A221" s="2" t="s">
        <v>204</v>
      </c>
      <c r="B221" s="2">
        <v>2021</v>
      </c>
      <c r="C221" s="3" t="s">
        <v>20</v>
      </c>
      <c r="D221" s="3" t="s">
        <v>14</v>
      </c>
      <c r="E221" s="3" t="s">
        <v>61</v>
      </c>
      <c r="F221" s="2">
        <v>150000</v>
      </c>
      <c r="G221" s="3" t="s">
        <v>22</v>
      </c>
      <c r="H221" s="2">
        <v>150000</v>
      </c>
      <c r="I221" s="2">
        <f>H221*83.12</f>
        <v>12468000</v>
      </c>
      <c r="J221" s="3" t="s">
        <v>35</v>
      </c>
      <c r="K221" s="7">
        <v>100</v>
      </c>
      <c r="L221" s="3" t="s">
        <v>35</v>
      </c>
      <c r="M221" s="3" t="s">
        <v>29</v>
      </c>
      <c r="N221" s="5" t="str">
        <f>IF(K221=0,"Onsite",IF(K221=50,"Hybrid","Remote"))</f>
        <v>Remote</v>
      </c>
      <c r="O221" s="5">
        <f>IF(C221="Entrylevel",1,IF(C221="Intermediate",2,IF(C221="Senior",3,4)))</f>
        <v>3</v>
      </c>
    </row>
    <row r="222" spans="1:15" ht="14.4" x14ac:dyDescent="0.3">
      <c r="A222" s="2" t="s">
        <v>206</v>
      </c>
      <c r="B222" s="2">
        <v>2021</v>
      </c>
      <c r="C222" s="3" t="s">
        <v>20</v>
      </c>
      <c r="D222" s="3" t="s">
        <v>14</v>
      </c>
      <c r="E222" s="3" t="s">
        <v>34</v>
      </c>
      <c r="F222" s="2">
        <v>80000</v>
      </c>
      <c r="G222" s="3" t="s">
        <v>16</v>
      </c>
      <c r="H222" s="2">
        <v>94564</v>
      </c>
      <c r="I222" s="2">
        <f>H222*83.12</f>
        <v>7860159.6800000006</v>
      </c>
      <c r="J222" s="3" t="s">
        <v>17</v>
      </c>
      <c r="K222" s="7">
        <v>50</v>
      </c>
      <c r="L222" s="3" t="s">
        <v>17</v>
      </c>
      <c r="M222" s="3" t="s">
        <v>18</v>
      </c>
      <c r="N222" s="5" t="str">
        <f>IF(K222=0,"Onsite",IF(K222=50,"Hybrid","Remote"))</f>
        <v>Hybrid</v>
      </c>
      <c r="O222" s="5">
        <f>IF(C222="Entrylevel",1,IF(C222="Intermediate",2,IF(C222="Senior",3,4)))</f>
        <v>3</v>
      </c>
    </row>
    <row r="223" spans="1:15" ht="14.4" x14ac:dyDescent="0.3">
      <c r="A223" s="4" t="s">
        <v>207</v>
      </c>
      <c r="B223" s="4">
        <v>2021</v>
      </c>
      <c r="C223" s="5" t="s">
        <v>20</v>
      </c>
      <c r="D223" s="5" t="s">
        <v>14</v>
      </c>
      <c r="E223" s="5" t="s">
        <v>208</v>
      </c>
      <c r="F223" s="4">
        <v>82500</v>
      </c>
      <c r="G223" s="5" t="s">
        <v>27</v>
      </c>
      <c r="H223" s="4">
        <v>113476</v>
      </c>
      <c r="I223" s="2">
        <f>H223*83.12</f>
        <v>9432125.120000001</v>
      </c>
      <c r="J223" s="5" t="s">
        <v>28</v>
      </c>
      <c r="K223" s="8">
        <v>100</v>
      </c>
      <c r="L223" s="5" t="s">
        <v>28</v>
      </c>
      <c r="M223" s="5" t="s">
        <v>29</v>
      </c>
      <c r="N223" s="5" t="str">
        <f>IF(K223=0,"Onsite",IF(K223=50,"Hybrid","Remote"))</f>
        <v>Remote</v>
      </c>
      <c r="O223" s="5">
        <f>IF(C223="Entrylevel",1,IF(C223="Intermediate",2,IF(C223="Senior",3,4)))</f>
        <v>3</v>
      </c>
    </row>
    <row r="224" spans="1:15" ht="14.4" x14ac:dyDescent="0.3">
      <c r="A224" s="2" t="s">
        <v>209</v>
      </c>
      <c r="B224" s="2">
        <v>2021</v>
      </c>
      <c r="C224" s="3" t="s">
        <v>20</v>
      </c>
      <c r="D224" s="3" t="s">
        <v>14</v>
      </c>
      <c r="E224" s="3" t="s">
        <v>47</v>
      </c>
      <c r="F224" s="2">
        <v>75000</v>
      </c>
      <c r="G224" s="3" t="s">
        <v>27</v>
      </c>
      <c r="H224" s="2">
        <v>103160</v>
      </c>
      <c r="I224" s="2">
        <f>H224*83.12</f>
        <v>8574659.2000000011</v>
      </c>
      <c r="J224" s="3" t="s">
        <v>28</v>
      </c>
      <c r="K224" s="7">
        <v>100</v>
      </c>
      <c r="L224" s="3" t="s">
        <v>28</v>
      </c>
      <c r="M224" s="3" t="s">
        <v>24</v>
      </c>
      <c r="N224" s="5" t="str">
        <f>IF(K224=0,"Onsite",IF(K224=50,"Hybrid","Remote"))</f>
        <v>Remote</v>
      </c>
      <c r="O224" s="5">
        <f>IF(C224="Entrylevel",1,IF(C224="Intermediate",2,IF(C224="Senior",3,4)))</f>
        <v>3</v>
      </c>
    </row>
    <row r="225" spans="1:15" ht="14.4" x14ac:dyDescent="0.3">
      <c r="A225" s="4" t="s">
        <v>220</v>
      </c>
      <c r="B225" s="4">
        <v>2021</v>
      </c>
      <c r="C225" s="5" t="s">
        <v>20</v>
      </c>
      <c r="D225" s="5" t="s">
        <v>14</v>
      </c>
      <c r="E225" s="5" t="s">
        <v>221</v>
      </c>
      <c r="F225" s="4">
        <v>200000</v>
      </c>
      <c r="G225" s="5" t="s">
        <v>22</v>
      </c>
      <c r="H225" s="4">
        <v>200000</v>
      </c>
      <c r="I225" s="2">
        <f>H225*83.12</f>
        <v>16624000</v>
      </c>
      <c r="J225" s="5" t="s">
        <v>35</v>
      </c>
      <c r="K225" s="8">
        <v>100</v>
      </c>
      <c r="L225" s="5" t="s">
        <v>35</v>
      </c>
      <c r="M225" s="5" t="s">
        <v>29</v>
      </c>
      <c r="N225" s="5" t="str">
        <f>IF(K225=0,"Onsite",IF(K225=50,"Hybrid","Remote"))</f>
        <v>Remote</v>
      </c>
      <c r="O225" s="5">
        <f>IF(C225="Entrylevel",1,IF(C225="Intermediate",2,IF(C225="Senior",3,4)))</f>
        <v>3</v>
      </c>
    </row>
    <row r="226" spans="1:15" ht="14.4" x14ac:dyDescent="0.3">
      <c r="A226" s="2" t="s">
        <v>226</v>
      </c>
      <c r="B226" s="2">
        <v>2021</v>
      </c>
      <c r="C226" s="3" t="s">
        <v>20</v>
      </c>
      <c r="D226" s="3" t="s">
        <v>14</v>
      </c>
      <c r="E226" s="3" t="s">
        <v>21</v>
      </c>
      <c r="F226" s="2">
        <v>120000</v>
      </c>
      <c r="G226" s="3" t="s">
        <v>22</v>
      </c>
      <c r="H226" s="2">
        <v>120000</v>
      </c>
      <c r="I226" s="2">
        <f>H226*83.12</f>
        <v>9974400</v>
      </c>
      <c r="J226" s="3" t="s">
        <v>35</v>
      </c>
      <c r="K226" s="7">
        <v>50</v>
      </c>
      <c r="L226" s="3" t="s">
        <v>35</v>
      </c>
      <c r="M226" s="3" t="s">
        <v>24</v>
      </c>
      <c r="N226" s="5" t="str">
        <f>IF(K226=0,"Onsite",IF(K226=50,"Hybrid","Remote"))</f>
        <v>Hybrid</v>
      </c>
      <c r="O226" s="5">
        <f>IF(C226="Entrylevel",1,IF(C226="Intermediate",2,IF(C226="Senior",3,4)))</f>
        <v>3</v>
      </c>
    </row>
    <row r="227" spans="1:15" ht="14.4" x14ac:dyDescent="0.3">
      <c r="A227" s="4" t="s">
        <v>229</v>
      </c>
      <c r="B227" s="4">
        <v>2021</v>
      </c>
      <c r="C227" s="5" t="s">
        <v>20</v>
      </c>
      <c r="D227" s="5" t="s">
        <v>14</v>
      </c>
      <c r="E227" s="5" t="s">
        <v>40</v>
      </c>
      <c r="F227" s="4">
        <v>3000000</v>
      </c>
      <c r="G227" s="5" t="s">
        <v>52</v>
      </c>
      <c r="H227" s="4">
        <v>40570</v>
      </c>
      <c r="I227" s="2">
        <f>H227*83.12</f>
        <v>3372178.4000000004</v>
      </c>
      <c r="J227" s="5" t="s">
        <v>53</v>
      </c>
      <c r="K227" s="8">
        <v>50</v>
      </c>
      <c r="L227" s="5" t="s">
        <v>53</v>
      </c>
      <c r="M227" s="5" t="s">
        <v>18</v>
      </c>
      <c r="N227" s="5" t="str">
        <f>IF(K227=0,"Onsite",IF(K227=50,"Hybrid","Remote"))</f>
        <v>Hybrid</v>
      </c>
      <c r="O227" s="5">
        <f>IF(C227="Entrylevel",1,IF(C227="Intermediate",2,IF(C227="Senior",3,4)))</f>
        <v>3</v>
      </c>
    </row>
    <row r="228" spans="1:15" ht="14.4" x14ac:dyDescent="0.3">
      <c r="A228" s="4" t="s">
        <v>237</v>
      </c>
      <c r="B228" s="4">
        <v>2021</v>
      </c>
      <c r="C228" s="5" t="s">
        <v>20</v>
      </c>
      <c r="D228" s="5" t="s">
        <v>14</v>
      </c>
      <c r="E228" s="5" t="s">
        <v>131</v>
      </c>
      <c r="F228" s="4">
        <v>24000</v>
      </c>
      <c r="G228" s="5" t="s">
        <v>22</v>
      </c>
      <c r="H228" s="4">
        <v>24000</v>
      </c>
      <c r="I228" s="2">
        <f>H228*83.12</f>
        <v>1994880</v>
      </c>
      <c r="J228" s="5" t="s">
        <v>190</v>
      </c>
      <c r="K228" s="8">
        <v>100</v>
      </c>
      <c r="L228" s="5" t="s">
        <v>190</v>
      </c>
      <c r="M228" s="5" t="s">
        <v>29</v>
      </c>
      <c r="N228" s="5" t="str">
        <f>IF(K228=0,"Onsite",IF(K228=50,"Hybrid","Remote"))</f>
        <v>Remote</v>
      </c>
      <c r="O228" s="5">
        <f>IF(C228="Entrylevel",1,IF(C228="Intermediate",2,IF(C228="Senior",3,4)))</f>
        <v>3</v>
      </c>
    </row>
    <row r="229" spans="1:15" ht="14.4" x14ac:dyDescent="0.3">
      <c r="A229" s="2" t="s">
        <v>242</v>
      </c>
      <c r="B229" s="2">
        <v>2021</v>
      </c>
      <c r="C229" s="3" t="s">
        <v>20</v>
      </c>
      <c r="D229" s="3" t="s">
        <v>14</v>
      </c>
      <c r="E229" s="3" t="s">
        <v>134</v>
      </c>
      <c r="F229" s="2">
        <v>220000</v>
      </c>
      <c r="G229" s="3" t="s">
        <v>22</v>
      </c>
      <c r="H229" s="2">
        <v>220000</v>
      </c>
      <c r="I229" s="2">
        <f>H229*83.12</f>
        <v>18286400</v>
      </c>
      <c r="J229" s="3" t="s">
        <v>35</v>
      </c>
      <c r="K229" s="7">
        <v>0</v>
      </c>
      <c r="L229" s="3" t="s">
        <v>35</v>
      </c>
      <c r="M229" s="3" t="s">
        <v>18</v>
      </c>
      <c r="N229" s="5" t="str">
        <f>IF(K229=0,"Onsite",IF(K229=50,"Hybrid","Remote"))</f>
        <v>Onsite</v>
      </c>
      <c r="O229" s="5">
        <f>IF(C229="Entrylevel",1,IF(C229="Intermediate",2,IF(C229="Senior",3,4)))</f>
        <v>3</v>
      </c>
    </row>
    <row r="230" spans="1:15" ht="14.4" x14ac:dyDescent="0.3">
      <c r="A230" s="4" t="s">
        <v>245</v>
      </c>
      <c r="B230" s="4">
        <v>2021</v>
      </c>
      <c r="C230" s="5" t="s">
        <v>20</v>
      </c>
      <c r="D230" s="5" t="s">
        <v>14</v>
      </c>
      <c r="E230" s="5" t="s">
        <v>149</v>
      </c>
      <c r="F230" s="4">
        <v>240000</v>
      </c>
      <c r="G230" s="5" t="s">
        <v>22</v>
      </c>
      <c r="H230" s="4">
        <v>240000</v>
      </c>
      <c r="I230" s="2">
        <f>H230*83.12</f>
        <v>19948800</v>
      </c>
      <c r="J230" s="5" t="s">
        <v>35</v>
      </c>
      <c r="K230" s="8">
        <v>0</v>
      </c>
      <c r="L230" s="5" t="s">
        <v>35</v>
      </c>
      <c r="M230" s="5" t="s">
        <v>18</v>
      </c>
      <c r="N230" s="5" t="str">
        <f>IF(K230=0,"Onsite",IF(K230=50,"Hybrid","Remote"))</f>
        <v>Onsite</v>
      </c>
      <c r="O230" s="5">
        <f>IF(C230="Entrylevel",1,IF(C230="Intermediate",2,IF(C230="Senior",3,4)))</f>
        <v>3</v>
      </c>
    </row>
    <row r="231" spans="1:15" ht="14.4" x14ac:dyDescent="0.3">
      <c r="A231" s="2" t="s">
        <v>246</v>
      </c>
      <c r="B231" s="2">
        <v>2021</v>
      </c>
      <c r="C231" s="3" t="s">
        <v>20</v>
      </c>
      <c r="D231" s="3" t="s">
        <v>14</v>
      </c>
      <c r="E231" s="3" t="s">
        <v>95</v>
      </c>
      <c r="F231" s="2">
        <v>150000</v>
      </c>
      <c r="G231" s="3" t="s">
        <v>22</v>
      </c>
      <c r="H231" s="2">
        <v>150000</v>
      </c>
      <c r="I231" s="2">
        <f>H231*83.12</f>
        <v>12468000</v>
      </c>
      <c r="J231" s="3" t="s">
        <v>35</v>
      </c>
      <c r="K231" s="7">
        <v>0</v>
      </c>
      <c r="L231" s="3" t="s">
        <v>35</v>
      </c>
      <c r="M231" s="3" t="s">
        <v>18</v>
      </c>
      <c r="N231" s="5" t="str">
        <f>IF(K231=0,"Onsite",IF(K231=50,"Hybrid","Remote"))</f>
        <v>Onsite</v>
      </c>
      <c r="O231" s="5">
        <f>IF(C231="Entrylevel",1,IF(C231="Intermediate",2,IF(C231="Senior",3,4)))</f>
        <v>3</v>
      </c>
    </row>
    <row r="232" spans="1:15" ht="14.4" x14ac:dyDescent="0.3">
      <c r="A232" s="4" t="s">
        <v>249</v>
      </c>
      <c r="B232" s="4">
        <v>2021</v>
      </c>
      <c r="C232" s="5" t="s">
        <v>20</v>
      </c>
      <c r="D232" s="5" t="s">
        <v>14</v>
      </c>
      <c r="E232" s="5" t="s">
        <v>34</v>
      </c>
      <c r="F232" s="4">
        <v>70000</v>
      </c>
      <c r="G232" s="5" t="s">
        <v>16</v>
      </c>
      <c r="H232" s="4">
        <v>82744</v>
      </c>
      <c r="I232" s="2">
        <f>H232*83.12</f>
        <v>6877681.2800000003</v>
      </c>
      <c r="J232" s="5" t="s">
        <v>250</v>
      </c>
      <c r="K232" s="8">
        <v>50</v>
      </c>
      <c r="L232" s="5" t="s">
        <v>250</v>
      </c>
      <c r="M232" s="5" t="s">
        <v>29</v>
      </c>
      <c r="N232" s="5" t="str">
        <f>IF(K232=0,"Onsite",IF(K232=50,"Hybrid","Remote"))</f>
        <v>Hybrid</v>
      </c>
      <c r="O232" s="5">
        <f>IF(C232="Entrylevel",1,IF(C232="Intermediate",2,IF(C232="Senior",3,4)))</f>
        <v>3</v>
      </c>
    </row>
    <row r="233" spans="1:15" ht="14.4" x14ac:dyDescent="0.3">
      <c r="A233" s="2" t="s">
        <v>253</v>
      </c>
      <c r="B233" s="2">
        <v>2021</v>
      </c>
      <c r="C233" s="3" t="s">
        <v>20</v>
      </c>
      <c r="D233" s="3" t="s">
        <v>14</v>
      </c>
      <c r="E233" s="3" t="s">
        <v>95</v>
      </c>
      <c r="F233" s="2">
        <v>153000</v>
      </c>
      <c r="G233" s="3" t="s">
        <v>22</v>
      </c>
      <c r="H233" s="2">
        <v>153000</v>
      </c>
      <c r="I233" s="2">
        <f>H233*83.12</f>
        <v>12717360</v>
      </c>
      <c r="J233" s="3" t="s">
        <v>35</v>
      </c>
      <c r="K233" s="7">
        <v>100</v>
      </c>
      <c r="L233" s="3" t="s">
        <v>35</v>
      </c>
      <c r="M233" s="3" t="s">
        <v>18</v>
      </c>
      <c r="N233" s="5" t="str">
        <f>IF(K233=0,"Onsite",IF(K233=50,"Hybrid","Remote"))</f>
        <v>Remote</v>
      </c>
      <c r="O233" s="5">
        <f>IF(C233="Entrylevel",1,IF(C233="Intermediate",2,IF(C233="Senior",3,4)))</f>
        <v>3</v>
      </c>
    </row>
    <row r="234" spans="1:15" ht="14.4" x14ac:dyDescent="0.3">
      <c r="A234" s="4" t="s">
        <v>254</v>
      </c>
      <c r="B234" s="4">
        <v>2021</v>
      </c>
      <c r="C234" s="5" t="s">
        <v>20</v>
      </c>
      <c r="D234" s="5" t="s">
        <v>14</v>
      </c>
      <c r="E234" s="5" t="s">
        <v>186</v>
      </c>
      <c r="F234" s="4">
        <v>160000</v>
      </c>
      <c r="G234" s="5" t="s">
        <v>22</v>
      </c>
      <c r="H234" s="4">
        <v>160000</v>
      </c>
      <c r="I234" s="2">
        <f>H234*83.12</f>
        <v>13299200</v>
      </c>
      <c r="J234" s="5" t="s">
        <v>190</v>
      </c>
      <c r="K234" s="8">
        <v>100</v>
      </c>
      <c r="L234" s="5" t="s">
        <v>35</v>
      </c>
      <c r="M234" s="5" t="s">
        <v>24</v>
      </c>
      <c r="N234" s="5" t="str">
        <f>IF(K234=0,"Onsite",IF(K234=50,"Hybrid","Remote"))</f>
        <v>Remote</v>
      </c>
      <c r="O234" s="5">
        <f>IF(C234="Entrylevel",1,IF(C234="Intermediate",2,IF(C234="Senior",3,4)))</f>
        <v>3</v>
      </c>
    </row>
    <row r="235" spans="1:15" ht="14.4" x14ac:dyDescent="0.3">
      <c r="A235" s="2" t="s">
        <v>255</v>
      </c>
      <c r="B235" s="2">
        <v>2021</v>
      </c>
      <c r="C235" s="3" t="s">
        <v>20</v>
      </c>
      <c r="D235" s="3" t="s">
        <v>14</v>
      </c>
      <c r="E235" s="3" t="s">
        <v>81</v>
      </c>
      <c r="F235" s="2">
        <v>168000</v>
      </c>
      <c r="G235" s="3" t="s">
        <v>22</v>
      </c>
      <c r="H235" s="2">
        <v>168000</v>
      </c>
      <c r="I235" s="2">
        <f>H235*83.12</f>
        <v>13964160</v>
      </c>
      <c r="J235" s="3" t="s">
        <v>23</v>
      </c>
      <c r="K235" s="7">
        <v>0</v>
      </c>
      <c r="L235" s="3" t="s">
        <v>23</v>
      </c>
      <c r="M235" s="3" t="s">
        <v>24</v>
      </c>
      <c r="N235" s="5" t="str">
        <f>IF(K235=0,"Onsite",IF(K235=50,"Hybrid","Remote"))</f>
        <v>Onsite</v>
      </c>
      <c r="O235" s="5">
        <f>IF(C235="Entrylevel",1,IF(C235="Intermediate",2,IF(C235="Senior",3,4)))</f>
        <v>3</v>
      </c>
    </row>
    <row r="236" spans="1:15" ht="14.4" x14ac:dyDescent="0.3">
      <c r="A236" s="2" t="s">
        <v>260</v>
      </c>
      <c r="B236" s="2">
        <v>2021</v>
      </c>
      <c r="C236" s="3" t="s">
        <v>20</v>
      </c>
      <c r="D236" s="3" t="s">
        <v>14</v>
      </c>
      <c r="E236" s="3" t="s">
        <v>149</v>
      </c>
      <c r="F236" s="2">
        <v>144000</v>
      </c>
      <c r="G236" s="3" t="s">
        <v>22</v>
      </c>
      <c r="H236" s="2">
        <v>144000</v>
      </c>
      <c r="I236" s="2">
        <f>H236*83.12</f>
        <v>11969280</v>
      </c>
      <c r="J236" s="3" t="s">
        <v>35</v>
      </c>
      <c r="K236" s="7">
        <v>100</v>
      </c>
      <c r="L236" s="3" t="s">
        <v>35</v>
      </c>
      <c r="M236" s="3" t="s">
        <v>18</v>
      </c>
      <c r="N236" s="5" t="str">
        <f>IF(K236=0,"Onsite",IF(K236=50,"Hybrid","Remote"))</f>
        <v>Remote</v>
      </c>
      <c r="O236" s="5">
        <f>IF(C236="Entrylevel",1,IF(C236="Intermediate",2,IF(C236="Senior",3,4)))</f>
        <v>3</v>
      </c>
    </row>
    <row r="237" spans="1:15" ht="14.4" x14ac:dyDescent="0.3">
      <c r="A237" s="4" t="s">
        <v>261</v>
      </c>
      <c r="B237" s="4">
        <v>2021</v>
      </c>
      <c r="C237" s="5" t="s">
        <v>20</v>
      </c>
      <c r="D237" s="5" t="s">
        <v>14</v>
      </c>
      <c r="E237" s="5" t="s">
        <v>215</v>
      </c>
      <c r="F237" s="4">
        <v>159500</v>
      </c>
      <c r="G237" s="5" t="s">
        <v>92</v>
      </c>
      <c r="H237" s="4">
        <v>127221</v>
      </c>
      <c r="I237" s="2">
        <f>H237*83.12</f>
        <v>10574609.520000001</v>
      </c>
      <c r="J237" s="5" t="s">
        <v>93</v>
      </c>
      <c r="K237" s="8">
        <v>50</v>
      </c>
      <c r="L237" s="5" t="s">
        <v>93</v>
      </c>
      <c r="M237" s="5" t="s">
        <v>18</v>
      </c>
      <c r="N237" s="5" t="str">
        <f>IF(K237=0,"Onsite",IF(K237=50,"Hybrid","Remote"))</f>
        <v>Hybrid</v>
      </c>
      <c r="O237" s="5">
        <f>IF(C237="Entrylevel",1,IF(C237="Intermediate",2,IF(C237="Senior",3,4)))</f>
        <v>3</v>
      </c>
    </row>
    <row r="238" spans="1:15" ht="14.4" x14ac:dyDescent="0.3">
      <c r="A238" s="2" t="s">
        <v>265</v>
      </c>
      <c r="B238" s="2">
        <v>2021</v>
      </c>
      <c r="C238" s="3" t="s">
        <v>20</v>
      </c>
      <c r="D238" s="3" t="s">
        <v>14</v>
      </c>
      <c r="E238" s="3" t="s">
        <v>266</v>
      </c>
      <c r="F238" s="2">
        <v>120000</v>
      </c>
      <c r="G238" s="3" t="s">
        <v>22</v>
      </c>
      <c r="H238" s="2">
        <v>120000</v>
      </c>
      <c r="I238" s="2">
        <f>H238*83.12</f>
        <v>9974400</v>
      </c>
      <c r="J238" s="3" t="s">
        <v>35</v>
      </c>
      <c r="K238" s="7">
        <v>100</v>
      </c>
      <c r="L238" s="3" t="s">
        <v>35</v>
      </c>
      <c r="M238" s="3" t="s">
        <v>29</v>
      </c>
      <c r="N238" s="5" t="str">
        <f>IF(K238=0,"Onsite",IF(K238=50,"Hybrid","Remote"))</f>
        <v>Remote</v>
      </c>
      <c r="O238" s="5">
        <f>IF(C238="Entrylevel",1,IF(C238="Intermediate",2,IF(C238="Senior",3,4)))</f>
        <v>3</v>
      </c>
    </row>
    <row r="239" spans="1:15" ht="14.4" x14ac:dyDescent="0.3">
      <c r="A239" s="4" t="s">
        <v>275</v>
      </c>
      <c r="B239" s="4">
        <v>2021</v>
      </c>
      <c r="C239" s="5" t="s">
        <v>20</v>
      </c>
      <c r="D239" s="5" t="s">
        <v>14</v>
      </c>
      <c r="E239" s="5" t="s">
        <v>276</v>
      </c>
      <c r="F239" s="4">
        <v>165000</v>
      </c>
      <c r="G239" s="5" t="s">
        <v>22</v>
      </c>
      <c r="H239" s="4">
        <v>165000</v>
      </c>
      <c r="I239" s="2">
        <f>H239*83.12</f>
        <v>13714800</v>
      </c>
      <c r="J239" s="5" t="s">
        <v>35</v>
      </c>
      <c r="K239" s="8">
        <v>100</v>
      </c>
      <c r="L239" s="5" t="s">
        <v>35</v>
      </c>
      <c r="M239" s="5" t="s">
        <v>18</v>
      </c>
      <c r="N239" s="5" t="str">
        <f>IF(K239=0,"Onsite",IF(K239=50,"Hybrid","Remote"))</f>
        <v>Remote</v>
      </c>
      <c r="O239" s="5">
        <f>IF(C239="Entrylevel",1,IF(C239="Intermediate",2,IF(C239="Senior",3,4)))</f>
        <v>3</v>
      </c>
    </row>
    <row r="240" spans="1:15" ht="14.4" x14ac:dyDescent="0.3">
      <c r="A240" s="4" t="s">
        <v>285</v>
      </c>
      <c r="B240" s="4">
        <v>2021</v>
      </c>
      <c r="C240" s="5" t="s">
        <v>20</v>
      </c>
      <c r="D240" s="5" t="s">
        <v>14</v>
      </c>
      <c r="E240" s="5" t="s">
        <v>134</v>
      </c>
      <c r="F240" s="4">
        <v>235000</v>
      </c>
      <c r="G240" s="5" t="s">
        <v>22</v>
      </c>
      <c r="H240" s="4">
        <v>235000</v>
      </c>
      <c r="I240" s="2">
        <f>H240*83.12</f>
        <v>19533200</v>
      </c>
      <c r="J240" s="5" t="s">
        <v>35</v>
      </c>
      <c r="K240" s="8">
        <v>100</v>
      </c>
      <c r="L240" s="5" t="s">
        <v>35</v>
      </c>
      <c r="M240" s="5" t="s">
        <v>18</v>
      </c>
      <c r="N240" s="5" t="str">
        <f>IF(K240=0,"Onsite",IF(K240=50,"Hybrid","Remote"))</f>
        <v>Remote</v>
      </c>
      <c r="O240" s="5">
        <f>IF(C240="Entrylevel",1,IF(C240="Intermediate",2,IF(C240="Senior",3,4)))</f>
        <v>3</v>
      </c>
    </row>
    <row r="241" spans="1:15" ht="14.4" x14ac:dyDescent="0.3">
      <c r="A241" s="2" t="s">
        <v>286</v>
      </c>
      <c r="B241" s="2">
        <v>2021</v>
      </c>
      <c r="C241" s="3" t="s">
        <v>20</v>
      </c>
      <c r="D241" s="3" t="s">
        <v>14</v>
      </c>
      <c r="E241" s="3" t="s">
        <v>83</v>
      </c>
      <c r="F241" s="2">
        <v>51400</v>
      </c>
      <c r="G241" s="3" t="s">
        <v>16</v>
      </c>
      <c r="H241" s="2">
        <v>60757</v>
      </c>
      <c r="I241" s="2">
        <f>H241*83.12</f>
        <v>5050121.84</v>
      </c>
      <c r="J241" s="3" t="s">
        <v>68</v>
      </c>
      <c r="K241" s="7">
        <v>50</v>
      </c>
      <c r="L241" s="3" t="s">
        <v>68</v>
      </c>
      <c r="M241" s="3" t="s">
        <v>18</v>
      </c>
      <c r="N241" s="5" t="str">
        <f>IF(K241=0,"Onsite",IF(K241=50,"Hybrid","Remote"))</f>
        <v>Hybrid</v>
      </c>
      <c r="O241" s="5">
        <f>IF(C241="Entrylevel",1,IF(C241="Intermediate",2,IF(C241="Senior",3,4)))</f>
        <v>3</v>
      </c>
    </row>
    <row r="242" spans="1:15" ht="14.4" x14ac:dyDescent="0.3">
      <c r="A242" s="4" t="s">
        <v>287</v>
      </c>
      <c r="B242" s="4">
        <v>2021</v>
      </c>
      <c r="C242" s="5" t="s">
        <v>20</v>
      </c>
      <c r="D242" s="5" t="s">
        <v>14</v>
      </c>
      <c r="E242" s="5" t="s">
        <v>95</v>
      </c>
      <c r="F242" s="4">
        <v>174000</v>
      </c>
      <c r="G242" s="5" t="s">
        <v>22</v>
      </c>
      <c r="H242" s="4">
        <v>174000</v>
      </c>
      <c r="I242" s="2">
        <f>H242*83.12</f>
        <v>14462880</v>
      </c>
      <c r="J242" s="5" t="s">
        <v>35</v>
      </c>
      <c r="K242" s="8">
        <v>100</v>
      </c>
      <c r="L242" s="5" t="s">
        <v>35</v>
      </c>
      <c r="M242" s="5" t="s">
        <v>18</v>
      </c>
      <c r="N242" s="5" t="str">
        <f>IF(K242=0,"Onsite",IF(K242=50,"Hybrid","Remote"))</f>
        <v>Remote</v>
      </c>
      <c r="O242" s="5">
        <f>IF(C242="Entrylevel",1,IF(C242="Intermediate",2,IF(C242="Senior",3,4)))</f>
        <v>3</v>
      </c>
    </row>
    <row r="243" spans="1:15" ht="14.4" x14ac:dyDescent="0.3">
      <c r="A243" s="4" t="s">
        <v>297</v>
      </c>
      <c r="B243" s="4">
        <v>2021</v>
      </c>
      <c r="C243" s="5" t="s">
        <v>20</v>
      </c>
      <c r="D243" s="5" t="s">
        <v>14</v>
      </c>
      <c r="E243" s="5" t="s">
        <v>298</v>
      </c>
      <c r="F243" s="4">
        <v>45000</v>
      </c>
      <c r="G243" s="5" t="s">
        <v>27</v>
      </c>
      <c r="H243" s="4">
        <v>61896</v>
      </c>
      <c r="I243" s="2">
        <f>H243*83.12</f>
        <v>5144795.5200000005</v>
      </c>
      <c r="J243" s="5" t="s">
        <v>28</v>
      </c>
      <c r="K243" s="8">
        <v>50</v>
      </c>
      <c r="L243" s="5" t="s">
        <v>28</v>
      </c>
      <c r="M243" s="5" t="s">
        <v>18</v>
      </c>
      <c r="N243" s="5" t="str">
        <f>IF(K243=0,"Onsite",IF(K243=50,"Hybrid","Remote"))</f>
        <v>Hybrid</v>
      </c>
      <c r="O243" s="5">
        <f>IF(C243="Entrylevel",1,IF(C243="Intermediate",2,IF(C243="Senior",3,4)))</f>
        <v>3</v>
      </c>
    </row>
    <row r="244" spans="1:15" ht="14.4" x14ac:dyDescent="0.3">
      <c r="A244" s="2" t="s">
        <v>302</v>
      </c>
      <c r="B244" s="2">
        <v>2021</v>
      </c>
      <c r="C244" s="3" t="s">
        <v>20</v>
      </c>
      <c r="D244" s="3" t="s">
        <v>14</v>
      </c>
      <c r="E244" s="3" t="s">
        <v>166</v>
      </c>
      <c r="F244" s="2">
        <v>50000</v>
      </c>
      <c r="G244" s="3" t="s">
        <v>22</v>
      </c>
      <c r="H244" s="2">
        <v>50000</v>
      </c>
      <c r="I244" s="2">
        <f>H244*83.12</f>
        <v>4156000</v>
      </c>
      <c r="J244" s="3" t="s">
        <v>236</v>
      </c>
      <c r="K244" s="7">
        <v>100</v>
      </c>
      <c r="L244" s="3" t="s">
        <v>28</v>
      </c>
      <c r="M244" s="3" t="s">
        <v>29</v>
      </c>
      <c r="N244" s="5" t="str">
        <f>IF(K244=0,"Onsite",IF(K244=50,"Hybrid","Remote"))</f>
        <v>Remote</v>
      </c>
      <c r="O244" s="5">
        <f>IF(C244="Entrylevel",1,IF(C244="Intermediate",2,IF(C244="Senior",3,4)))</f>
        <v>3</v>
      </c>
    </row>
    <row r="245" spans="1:15" ht="14.4" x14ac:dyDescent="0.3">
      <c r="A245" s="2" t="s">
        <v>304</v>
      </c>
      <c r="B245" s="2">
        <v>2021</v>
      </c>
      <c r="C245" s="3" t="s">
        <v>20</v>
      </c>
      <c r="D245" s="3" t="s">
        <v>14</v>
      </c>
      <c r="E245" s="3" t="s">
        <v>61</v>
      </c>
      <c r="F245" s="2">
        <v>65000</v>
      </c>
      <c r="G245" s="3" t="s">
        <v>16</v>
      </c>
      <c r="H245" s="2">
        <v>76833</v>
      </c>
      <c r="I245" s="2">
        <f>H245*83.12</f>
        <v>6386358.96</v>
      </c>
      <c r="J245" s="3" t="s">
        <v>219</v>
      </c>
      <c r="K245" s="7">
        <v>50</v>
      </c>
      <c r="L245" s="3" t="s">
        <v>28</v>
      </c>
      <c r="M245" s="3" t="s">
        <v>24</v>
      </c>
      <c r="N245" s="5" t="str">
        <f>IF(K245=0,"Onsite",IF(K245=50,"Hybrid","Remote"))</f>
        <v>Hybrid</v>
      </c>
      <c r="O245" s="5">
        <f>IF(C245="Entrylevel",1,IF(C245="Intermediate",2,IF(C245="Senior",3,4)))</f>
        <v>3</v>
      </c>
    </row>
    <row r="246" spans="1:15" ht="14.4" x14ac:dyDescent="0.3">
      <c r="A246" s="2" t="s">
        <v>306</v>
      </c>
      <c r="B246" s="2">
        <v>2021</v>
      </c>
      <c r="C246" s="3" t="s">
        <v>20</v>
      </c>
      <c r="D246" s="3" t="s">
        <v>14</v>
      </c>
      <c r="E246" s="3" t="s">
        <v>149</v>
      </c>
      <c r="F246" s="2">
        <v>152000</v>
      </c>
      <c r="G246" s="3" t="s">
        <v>22</v>
      </c>
      <c r="H246" s="2">
        <v>152000</v>
      </c>
      <c r="I246" s="2">
        <f>H246*83.12</f>
        <v>12634240</v>
      </c>
      <c r="J246" s="3" t="s">
        <v>35</v>
      </c>
      <c r="K246" s="7">
        <v>100</v>
      </c>
      <c r="L246" s="3" t="s">
        <v>50</v>
      </c>
      <c r="M246" s="3" t="s">
        <v>18</v>
      </c>
      <c r="N246" s="5" t="str">
        <f>IF(K246=0,"Onsite",IF(K246=50,"Hybrid","Remote"))</f>
        <v>Remote</v>
      </c>
      <c r="O246" s="5">
        <f>IF(C246="Entrylevel",1,IF(C246="Intermediate",2,IF(C246="Senior",3,4)))</f>
        <v>3</v>
      </c>
    </row>
    <row r="247" spans="1:15" ht="14.4" x14ac:dyDescent="0.3">
      <c r="A247" s="4" t="s">
        <v>311</v>
      </c>
      <c r="B247" s="4">
        <v>2021</v>
      </c>
      <c r="C247" s="5" t="s">
        <v>20</v>
      </c>
      <c r="D247" s="5" t="s">
        <v>14</v>
      </c>
      <c r="E247" s="5" t="s">
        <v>149</v>
      </c>
      <c r="F247" s="4">
        <v>174000</v>
      </c>
      <c r="G247" s="5" t="s">
        <v>22</v>
      </c>
      <c r="H247" s="4">
        <v>174000</v>
      </c>
      <c r="I247" s="2">
        <f>H247*83.12</f>
        <v>14462880</v>
      </c>
      <c r="J247" s="5" t="s">
        <v>35</v>
      </c>
      <c r="K247" s="8">
        <v>100</v>
      </c>
      <c r="L247" s="5" t="s">
        <v>35</v>
      </c>
      <c r="M247" s="5" t="s">
        <v>18</v>
      </c>
      <c r="N247" s="5" t="str">
        <f>IF(K247=0,"Onsite",IF(K247=50,"Hybrid","Remote"))</f>
        <v>Remote</v>
      </c>
      <c r="O247" s="5">
        <f>IF(C247="Entrylevel",1,IF(C247="Intermediate",2,IF(C247="Senior",3,4)))</f>
        <v>3</v>
      </c>
    </row>
    <row r="248" spans="1:15" ht="14.4" x14ac:dyDescent="0.3">
      <c r="A248" s="2" t="s">
        <v>312</v>
      </c>
      <c r="B248" s="2">
        <v>2021</v>
      </c>
      <c r="C248" s="3" t="s">
        <v>20</v>
      </c>
      <c r="D248" s="3" t="s">
        <v>14</v>
      </c>
      <c r="E248" s="3" t="s">
        <v>83</v>
      </c>
      <c r="F248" s="2">
        <v>120500</v>
      </c>
      <c r="G248" s="3" t="s">
        <v>92</v>
      </c>
      <c r="H248" s="2">
        <v>96113</v>
      </c>
      <c r="I248" s="2">
        <f>H248*83.12</f>
        <v>7988912.5600000005</v>
      </c>
      <c r="J248" s="3" t="s">
        <v>93</v>
      </c>
      <c r="K248" s="7">
        <v>50</v>
      </c>
      <c r="L248" s="3" t="s">
        <v>93</v>
      </c>
      <c r="M248" s="3" t="s">
        <v>18</v>
      </c>
      <c r="N248" s="5" t="str">
        <f>IF(K248=0,"Onsite",IF(K248=50,"Hybrid","Remote"))</f>
        <v>Hybrid</v>
      </c>
      <c r="O248" s="5">
        <f>IF(C248="Entrylevel",1,IF(C248="Intermediate",2,IF(C248="Senior",3,4)))</f>
        <v>3</v>
      </c>
    </row>
    <row r="249" spans="1:15" ht="14.4" x14ac:dyDescent="0.3">
      <c r="A249" s="4" t="s">
        <v>316</v>
      </c>
      <c r="B249" s="4">
        <v>2021</v>
      </c>
      <c r="C249" s="5" t="s">
        <v>20</v>
      </c>
      <c r="D249" s="5" t="s">
        <v>14</v>
      </c>
      <c r="E249" s="5" t="s">
        <v>34</v>
      </c>
      <c r="F249" s="4">
        <v>1799997</v>
      </c>
      <c r="G249" s="5" t="s">
        <v>52</v>
      </c>
      <c r="H249" s="4">
        <v>24342</v>
      </c>
      <c r="I249" s="2">
        <f>H249*83.12</f>
        <v>2023307.04</v>
      </c>
      <c r="J249" s="5" t="s">
        <v>53</v>
      </c>
      <c r="K249" s="8">
        <v>100</v>
      </c>
      <c r="L249" s="5" t="s">
        <v>53</v>
      </c>
      <c r="M249" s="5" t="s">
        <v>18</v>
      </c>
      <c r="N249" s="5" t="str">
        <f>IF(K249=0,"Onsite",IF(K249=50,"Hybrid","Remote"))</f>
        <v>Remote</v>
      </c>
      <c r="O249" s="5">
        <f>IF(C249="Entrylevel",1,IF(C249="Intermediate",2,IF(C249="Senior",3,4)))</f>
        <v>3</v>
      </c>
    </row>
    <row r="250" spans="1:15" ht="14.4" x14ac:dyDescent="0.3">
      <c r="A250" s="2" t="s">
        <v>317</v>
      </c>
      <c r="B250" s="2">
        <v>2021</v>
      </c>
      <c r="C250" s="3" t="s">
        <v>20</v>
      </c>
      <c r="D250" s="3" t="s">
        <v>14</v>
      </c>
      <c r="E250" s="3" t="s">
        <v>149</v>
      </c>
      <c r="F250" s="2">
        <v>4000000</v>
      </c>
      <c r="G250" s="3" t="s">
        <v>52</v>
      </c>
      <c r="H250" s="2">
        <v>54094</v>
      </c>
      <c r="I250" s="2">
        <f>H250*83.12</f>
        <v>4496293.28</v>
      </c>
      <c r="J250" s="3" t="s">
        <v>53</v>
      </c>
      <c r="K250" s="7">
        <v>50</v>
      </c>
      <c r="L250" s="3" t="s">
        <v>35</v>
      </c>
      <c r="M250" s="3" t="s">
        <v>18</v>
      </c>
      <c r="N250" s="5" t="str">
        <f>IF(K250=0,"Onsite",IF(K250=50,"Hybrid","Remote"))</f>
        <v>Hybrid</v>
      </c>
      <c r="O250" s="5">
        <f>IF(C250="Entrylevel",1,IF(C250="Intermediate",2,IF(C250="Senior",3,4)))</f>
        <v>3</v>
      </c>
    </row>
    <row r="251" spans="1:15" ht="14.4" x14ac:dyDescent="0.3">
      <c r="A251" s="4" t="s">
        <v>320</v>
      </c>
      <c r="B251" s="4">
        <v>2021</v>
      </c>
      <c r="C251" s="5" t="s">
        <v>20</v>
      </c>
      <c r="D251" s="5" t="s">
        <v>14</v>
      </c>
      <c r="E251" s="5" t="s">
        <v>112</v>
      </c>
      <c r="F251" s="4">
        <v>195000</v>
      </c>
      <c r="G251" s="5" t="s">
        <v>22</v>
      </c>
      <c r="H251" s="4">
        <v>195000</v>
      </c>
      <c r="I251" s="2">
        <f>H251*83.12</f>
        <v>16208400</v>
      </c>
      <c r="J251" s="5" t="s">
        <v>35</v>
      </c>
      <c r="K251" s="8">
        <v>100</v>
      </c>
      <c r="L251" s="5" t="s">
        <v>35</v>
      </c>
      <c r="M251" s="5" t="s">
        <v>29</v>
      </c>
      <c r="N251" s="5" t="str">
        <f>IF(K251=0,"Onsite",IF(K251=50,"Hybrid","Remote"))</f>
        <v>Remote</v>
      </c>
      <c r="O251" s="5">
        <f>IF(C251="Entrylevel",1,IF(C251="Intermediate",2,IF(C251="Senior",3,4)))</f>
        <v>3</v>
      </c>
    </row>
    <row r="252" spans="1:15" ht="14.4" x14ac:dyDescent="0.3">
      <c r="A252" s="4" t="s">
        <v>322</v>
      </c>
      <c r="B252" s="4">
        <v>2021</v>
      </c>
      <c r="C252" s="5" t="s">
        <v>20</v>
      </c>
      <c r="D252" s="5" t="s">
        <v>14</v>
      </c>
      <c r="E252" s="5" t="s">
        <v>83</v>
      </c>
      <c r="F252" s="4">
        <v>50000</v>
      </c>
      <c r="G252" s="5" t="s">
        <v>22</v>
      </c>
      <c r="H252" s="4">
        <v>50000</v>
      </c>
      <c r="I252" s="2">
        <f>H252*83.12</f>
        <v>4156000</v>
      </c>
      <c r="J252" s="5" t="s">
        <v>50</v>
      </c>
      <c r="K252" s="8">
        <v>100</v>
      </c>
      <c r="L252" s="5" t="s">
        <v>35</v>
      </c>
      <c r="M252" s="5" t="s">
        <v>24</v>
      </c>
      <c r="N252" s="5" t="str">
        <f>IF(K252=0,"Onsite",IF(K252=50,"Hybrid","Remote"))</f>
        <v>Remote</v>
      </c>
      <c r="O252" s="5">
        <f>IF(C252="Entrylevel",1,IF(C252="Intermediate",2,IF(C252="Senior",3,4)))</f>
        <v>3</v>
      </c>
    </row>
    <row r="253" spans="1:15" ht="14.4" x14ac:dyDescent="0.3">
      <c r="A253" s="2" t="s">
        <v>326</v>
      </c>
      <c r="B253" s="2">
        <v>2021</v>
      </c>
      <c r="C253" s="3" t="s">
        <v>20</v>
      </c>
      <c r="D253" s="3" t="s">
        <v>14</v>
      </c>
      <c r="E253" s="3" t="s">
        <v>34</v>
      </c>
      <c r="F253" s="2">
        <v>200000</v>
      </c>
      <c r="G253" s="3" t="s">
        <v>22</v>
      </c>
      <c r="H253" s="2">
        <v>200000</v>
      </c>
      <c r="I253" s="2">
        <f>H253*83.12</f>
        <v>16624000</v>
      </c>
      <c r="J253" s="3" t="s">
        <v>35</v>
      </c>
      <c r="K253" s="7">
        <v>100</v>
      </c>
      <c r="L253" s="3" t="s">
        <v>35</v>
      </c>
      <c r="M253" s="3" t="s">
        <v>18</v>
      </c>
      <c r="N253" s="5" t="str">
        <f>IF(K253=0,"Onsite",IF(K253=50,"Hybrid","Remote"))</f>
        <v>Remote</v>
      </c>
      <c r="O253" s="5">
        <f>IF(C253="Entrylevel",1,IF(C253="Intermediate",2,IF(C253="Senior",3,4)))</f>
        <v>3</v>
      </c>
    </row>
    <row r="254" spans="1:15" ht="14.4" x14ac:dyDescent="0.3">
      <c r="A254" s="4" t="s">
        <v>327</v>
      </c>
      <c r="B254" s="4">
        <v>2021</v>
      </c>
      <c r="C254" s="5" t="s">
        <v>20</v>
      </c>
      <c r="D254" s="5" t="s">
        <v>14</v>
      </c>
      <c r="E254" s="5" t="s">
        <v>61</v>
      </c>
      <c r="F254" s="4">
        <v>165000</v>
      </c>
      <c r="G254" s="5" t="s">
        <v>22</v>
      </c>
      <c r="H254" s="4">
        <v>165000</v>
      </c>
      <c r="I254" s="2">
        <f>H254*83.12</f>
        <v>13714800</v>
      </c>
      <c r="J254" s="5" t="s">
        <v>35</v>
      </c>
      <c r="K254" s="8">
        <v>0</v>
      </c>
      <c r="L254" s="5" t="s">
        <v>35</v>
      </c>
      <c r="M254" s="5" t="s">
        <v>29</v>
      </c>
      <c r="N254" s="5" t="str">
        <f>IF(K254=0,"Onsite",IF(K254=50,"Hybrid","Remote"))</f>
        <v>Onsite</v>
      </c>
      <c r="O254" s="5">
        <f>IF(C254="Entrylevel",1,IF(C254="Intermediate",2,IF(C254="Senior",3,4)))</f>
        <v>3</v>
      </c>
    </row>
    <row r="255" spans="1:15" ht="14.4" x14ac:dyDescent="0.3">
      <c r="A255" s="4" t="s">
        <v>329</v>
      </c>
      <c r="B255" s="4">
        <v>2021</v>
      </c>
      <c r="C255" s="5" t="s">
        <v>20</v>
      </c>
      <c r="D255" s="5" t="s">
        <v>14</v>
      </c>
      <c r="E255" s="5" t="s">
        <v>266</v>
      </c>
      <c r="F255" s="4">
        <v>120000</v>
      </c>
      <c r="G255" s="5" t="s">
        <v>22</v>
      </c>
      <c r="H255" s="4">
        <v>120000</v>
      </c>
      <c r="I255" s="2">
        <f>H255*83.12</f>
        <v>9974400</v>
      </c>
      <c r="J255" s="5" t="s">
        <v>35</v>
      </c>
      <c r="K255" s="8">
        <v>0</v>
      </c>
      <c r="L255" s="5" t="s">
        <v>35</v>
      </c>
      <c r="M255" s="5" t="s">
        <v>18</v>
      </c>
      <c r="N255" s="5" t="str">
        <f>IF(K255=0,"Onsite",IF(K255=50,"Hybrid","Remote"))</f>
        <v>Onsite</v>
      </c>
      <c r="O255" s="5">
        <f>IF(C255="Entrylevel",1,IF(C255="Intermediate",2,IF(C255="Senior",3,4)))</f>
        <v>3</v>
      </c>
    </row>
    <row r="256" spans="1:15" ht="14.4" x14ac:dyDescent="0.3">
      <c r="A256" s="4" t="s">
        <v>338</v>
      </c>
      <c r="B256" s="4">
        <v>2021</v>
      </c>
      <c r="C256" s="5" t="s">
        <v>20</v>
      </c>
      <c r="D256" s="5" t="s">
        <v>14</v>
      </c>
      <c r="E256" s="5" t="s">
        <v>221</v>
      </c>
      <c r="F256" s="4">
        <v>185000</v>
      </c>
      <c r="G256" s="5" t="s">
        <v>22</v>
      </c>
      <c r="H256" s="4">
        <v>185000</v>
      </c>
      <c r="I256" s="2">
        <f>H256*83.12</f>
        <v>15377200</v>
      </c>
      <c r="J256" s="5" t="s">
        <v>35</v>
      </c>
      <c r="K256" s="8">
        <v>100</v>
      </c>
      <c r="L256" s="5" t="s">
        <v>35</v>
      </c>
      <c r="M256" s="5" t="s">
        <v>18</v>
      </c>
      <c r="N256" s="5" t="str">
        <f>IF(K256=0,"Onsite",IF(K256=50,"Hybrid","Remote"))</f>
        <v>Remote</v>
      </c>
      <c r="O256" s="5">
        <f>IF(C256="Entrylevel",1,IF(C256="Intermediate",2,IF(C256="Senior",3,4)))</f>
        <v>3</v>
      </c>
    </row>
    <row r="257" spans="1:15" ht="14.4" x14ac:dyDescent="0.3">
      <c r="A257" s="4" t="s">
        <v>342</v>
      </c>
      <c r="B257" s="4">
        <v>2021</v>
      </c>
      <c r="C257" s="5" t="s">
        <v>20</v>
      </c>
      <c r="D257" s="5" t="s">
        <v>14</v>
      </c>
      <c r="E257" s="5" t="s">
        <v>266</v>
      </c>
      <c r="F257" s="4">
        <v>140000</v>
      </c>
      <c r="G257" s="5" t="s">
        <v>22</v>
      </c>
      <c r="H257" s="4">
        <v>140000</v>
      </c>
      <c r="I257" s="2">
        <f>H257*83.12</f>
        <v>11636800</v>
      </c>
      <c r="J257" s="5" t="s">
        <v>35</v>
      </c>
      <c r="K257" s="8">
        <v>100</v>
      </c>
      <c r="L257" s="5" t="s">
        <v>35</v>
      </c>
      <c r="M257" s="5" t="s">
        <v>18</v>
      </c>
      <c r="N257" s="5" t="str">
        <f>IF(K257=0,"Onsite",IF(K257=50,"Hybrid","Remote"))</f>
        <v>Remote</v>
      </c>
      <c r="O257" s="5">
        <f>IF(C257="Entrylevel",1,IF(C257="Intermediate",2,IF(C257="Senior",3,4)))</f>
        <v>3</v>
      </c>
    </row>
    <row r="258" spans="1:15" ht="14.4" x14ac:dyDescent="0.3">
      <c r="A258" s="2" t="s">
        <v>347</v>
      </c>
      <c r="B258" s="2">
        <v>2021</v>
      </c>
      <c r="C258" s="3" t="s">
        <v>20</v>
      </c>
      <c r="D258" s="3" t="s">
        <v>14</v>
      </c>
      <c r="E258" s="3" t="s">
        <v>21</v>
      </c>
      <c r="F258" s="2">
        <v>225000</v>
      </c>
      <c r="G258" s="3" t="s">
        <v>22</v>
      </c>
      <c r="H258" s="2">
        <v>225000</v>
      </c>
      <c r="I258" s="2">
        <f>H258*83.12</f>
        <v>18702000</v>
      </c>
      <c r="J258" s="3" t="s">
        <v>35</v>
      </c>
      <c r="K258" s="7">
        <v>100</v>
      </c>
      <c r="L258" s="3" t="s">
        <v>93</v>
      </c>
      <c r="M258" s="3" t="s">
        <v>18</v>
      </c>
      <c r="N258" s="5" t="str">
        <f>IF(K258=0,"Onsite",IF(K258=50,"Hybrid","Remote"))</f>
        <v>Remote</v>
      </c>
      <c r="O258" s="5">
        <f>IF(C258="Entrylevel",1,IF(C258="Intermediate",2,IF(C258="Senior",3,4)))</f>
        <v>3</v>
      </c>
    </row>
    <row r="259" spans="1:15" ht="14.4" x14ac:dyDescent="0.3">
      <c r="A259" s="2" t="s">
        <v>349</v>
      </c>
      <c r="B259" s="2">
        <v>2021</v>
      </c>
      <c r="C259" s="3" t="s">
        <v>20</v>
      </c>
      <c r="D259" s="3" t="s">
        <v>14</v>
      </c>
      <c r="E259" s="3" t="s">
        <v>15</v>
      </c>
      <c r="F259" s="2">
        <v>110000</v>
      </c>
      <c r="G259" s="3" t="s">
        <v>92</v>
      </c>
      <c r="H259" s="2">
        <v>87738</v>
      </c>
      <c r="I259" s="2">
        <f>H259*83.12</f>
        <v>7292782.5600000005</v>
      </c>
      <c r="J259" s="3" t="s">
        <v>93</v>
      </c>
      <c r="K259" s="7">
        <v>100</v>
      </c>
      <c r="L259" s="3" t="s">
        <v>93</v>
      </c>
      <c r="M259" s="3" t="s">
        <v>24</v>
      </c>
      <c r="N259" s="5" t="str">
        <f>IF(K259=0,"Onsite",IF(K259=50,"Hybrid","Remote"))</f>
        <v>Remote</v>
      </c>
      <c r="O259" s="5">
        <f>IF(C259="Entrylevel",1,IF(C259="Intermediate",2,IF(C259="Senior",3,4)))</f>
        <v>3</v>
      </c>
    </row>
    <row r="260" spans="1:15" ht="14.4" x14ac:dyDescent="0.3">
      <c r="A260" s="2" t="s">
        <v>351</v>
      </c>
      <c r="B260" s="2">
        <v>2021</v>
      </c>
      <c r="C260" s="3" t="s">
        <v>20</v>
      </c>
      <c r="D260" s="3" t="s">
        <v>14</v>
      </c>
      <c r="E260" s="3" t="s">
        <v>15</v>
      </c>
      <c r="F260" s="2">
        <v>135000</v>
      </c>
      <c r="G260" s="3" t="s">
        <v>22</v>
      </c>
      <c r="H260" s="2">
        <v>135000</v>
      </c>
      <c r="I260" s="2">
        <f>H260*83.12</f>
        <v>11221200</v>
      </c>
      <c r="J260" s="3" t="s">
        <v>35</v>
      </c>
      <c r="K260" s="7">
        <v>0</v>
      </c>
      <c r="L260" s="3" t="s">
        <v>35</v>
      </c>
      <c r="M260" s="3" t="s">
        <v>18</v>
      </c>
      <c r="N260" s="5" t="str">
        <f>IF(K260=0,"Onsite",IF(K260=50,"Hybrid","Remote"))</f>
        <v>Onsite</v>
      </c>
      <c r="O260" s="5">
        <f>IF(C260="Entrylevel",1,IF(C260="Intermediate",2,IF(C260="Senior",3,4)))</f>
        <v>3</v>
      </c>
    </row>
    <row r="261" spans="1:15" ht="14.4" x14ac:dyDescent="0.3">
      <c r="A261" s="4" t="s">
        <v>352</v>
      </c>
      <c r="B261" s="4">
        <v>2021</v>
      </c>
      <c r="C261" s="5" t="s">
        <v>20</v>
      </c>
      <c r="D261" s="5" t="s">
        <v>14</v>
      </c>
      <c r="E261" s="5" t="s">
        <v>38</v>
      </c>
      <c r="F261" s="4">
        <v>90000</v>
      </c>
      <c r="G261" s="5" t="s">
        <v>92</v>
      </c>
      <c r="H261" s="4">
        <v>71786</v>
      </c>
      <c r="I261" s="2">
        <f>H261*83.12</f>
        <v>5966852.3200000003</v>
      </c>
      <c r="J261" s="5" t="s">
        <v>93</v>
      </c>
      <c r="K261" s="8">
        <v>100</v>
      </c>
      <c r="L261" s="5" t="s">
        <v>93</v>
      </c>
      <c r="M261" s="5" t="s">
        <v>29</v>
      </c>
      <c r="N261" s="5" t="str">
        <f>IF(K261=0,"Onsite",IF(K261=50,"Hybrid","Remote"))</f>
        <v>Remote</v>
      </c>
      <c r="O261" s="5">
        <f>IF(C261="Entrylevel",1,IF(C261="Intermediate",2,IF(C261="Senior",3,4)))</f>
        <v>3</v>
      </c>
    </row>
    <row r="262" spans="1:15" ht="14.4" x14ac:dyDescent="0.3">
      <c r="A262" s="4" t="s">
        <v>354</v>
      </c>
      <c r="B262" s="4">
        <v>2021</v>
      </c>
      <c r="C262" s="5" t="s">
        <v>20</v>
      </c>
      <c r="D262" s="5" t="s">
        <v>14</v>
      </c>
      <c r="E262" s="5" t="s">
        <v>117</v>
      </c>
      <c r="F262" s="4">
        <v>256000</v>
      </c>
      <c r="G262" s="5" t="s">
        <v>22</v>
      </c>
      <c r="H262" s="4">
        <v>256000</v>
      </c>
      <c r="I262" s="2">
        <f>H262*83.12</f>
        <v>21278720</v>
      </c>
      <c r="J262" s="5" t="s">
        <v>35</v>
      </c>
      <c r="K262" s="8">
        <v>100</v>
      </c>
      <c r="L262" s="5" t="s">
        <v>35</v>
      </c>
      <c r="M262" s="5" t="s">
        <v>24</v>
      </c>
      <c r="N262" s="5" t="str">
        <f>IF(K262=0,"Onsite",IF(K262=50,"Hybrid","Remote"))</f>
        <v>Remote</v>
      </c>
      <c r="O262" s="5">
        <f>IF(C262="Entrylevel",1,IF(C262="Intermediate",2,IF(C262="Senior",3,4)))</f>
        <v>3</v>
      </c>
    </row>
    <row r="263" spans="1:15" ht="14.4" x14ac:dyDescent="0.3">
      <c r="A263" s="2" t="s">
        <v>355</v>
      </c>
      <c r="B263" s="2">
        <v>2021</v>
      </c>
      <c r="C263" s="3" t="s">
        <v>20</v>
      </c>
      <c r="D263" s="3" t="s">
        <v>14</v>
      </c>
      <c r="E263" s="3" t="s">
        <v>208</v>
      </c>
      <c r="F263" s="2">
        <v>200000</v>
      </c>
      <c r="G263" s="3" t="s">
        <v>22</v>
      </c>
      <c r="H263" s="2">
        <v>200000</v>
      </c>
      <c r="I263" s="2">
        <f>H263*83.12</f>
        <v>16624000</v>
      </c>
      <c r="J263" s="3" t="s">
        <v>35</v>
      </c>
      <c r="K263" s="7">
        <v>100</v>
      </c>
      <c r="L263" s="3" t="s">
        <v>35</v>
      </c>
      <c r="M263" s="3" t="s">
        <v>18</v>
      </c>
      <c r="N263" s="5" t="str">
        <f>IF(K263=0,"Onsite",IF(K263=50,"Hybrid","Remote"))</f>
        <v>Remote</v>
      </c>
      <c r="O263" s="5">
        <f>IF(C263="Entrylevel",1,IF(C263="Intermediate",2,IF(C263="Senior",3,4)))</f>
        <v>3</v>
      </c>
    </row>
    <row r="264" spans="1:15" ht="14.4" x14ac:dyDescent="0.3">
      <c r="A264" s="4" t="s">
        <v>356</v>
      </c>
      <c r="B264" s="4">
        <v>2021</v>
      </c>
      <c r="C264" s="5" t="s">
        <v>20</v>
      </c>
      <c r="D264" s="5" t="s">
        <v>14</v>
      </c>
      <c r="E264" s="5" t="s">
        <v>38</v>
      </c>
      <c r="F264" s="4">
        <v>200000</v>
      </c>
      <c r="G264" s="5" t="s">
        <v>22</v>
      </c>
      <c r="H264" s="4">
        <v>200000</v>
      </c>
      <c r="I264" s="2">
        <f>H264*83.12</f>
        <v>16624000</v>
      </c>
      <c r="J264" s="5" t="s">
        <v>35</v>
      </c>
      <c r="K264" s="8">
        <v>100</v>
      </c>
      <c r="L264" s="5" t="s">
        <v>35</v>
      </c>
      <c r="M264" s="5" t="s">
        <v>18</v>
      </c>
      <c r="N264" s="5" t="str">
        <f>IF(K264=0,"Onsite",IF(K264=50,"Hybrid","Remote"))</f>
        <v>Remote</v>
      </c>
      <c r="O264" s="5">
        <f>IF(C264="Entrylevel",1,IF(C264="Intermediate",2,IF(C264="Senior",3,4)))</f>
        <v>3</v>
      </c>
    </row>
    <row r="265" spans="1:15" ht="14.4" x14ac:dyDescent="0.3">
      <c r="A265" s="2" t="s">
        <v>363</v>
      </c>
      <c r="B265" s="2">
        <v>2021</v>
      </c>
      <c r="C265" s="3" t="s">
        <v>20</v>
      </c>
      <c r="D265" s="3" t="s">
        <v>14</v>
      </c>
      <c r="E265" s="3" t="s">
        <v>15</v>
      </c>
      <c r="F265" s="2">
        <v>130000</v>
      </c>
      <c r="G265" s="3" t="s">
        <v>92</v>
      </c>
      <c r="H265" s="2">
        <v>103691</v>
      </c>
      <c r="I265" s="2">
        <f>H265*83.12</f>
        <v>8618795.9199999999</v>
      </c>
      <c r="J265" s="3" t="s">
        <v>93</v>
      </c>
      <c r="K265" s="7">
        <v>100</v>
      </c>
      <c r="L265" s="3" t="s">
        <v>93</v>
      </c>
      <c r="M265" s="3" t="s">
        <v>18</v>
      </c>
      <c r="N265" s="5" t="str">
        <f>IF(K265=0,"Onsite",IF(K265=50,"Hybrid","Remote"))</f>
        <v>Remote</v>
      </c>
      <c r="O265" s="5">
        <f>IF(C265="Entrylevel",1,IF(C265="Intermediate",2,IF(C265="Senior",3,4)))</f>
        <v>3</v>
      </c>
    </row>
    <row r="266" spans="1:15" ht="14.4" x14ac:dyDescent="0.3">
      <c r="A266" s="4" t="s">
        <v>366</v>
      </c>
      <c r="B266" s="4">
        <v>2021</v>
      </c>
      <c r="C266" s="5" t="s">
        <v>20</v>
      </c>
      <c r="D266" s="5" t="s">
        <v>14</v>
      </c>
      <c r="E266" s="5" t="s">
        <v>15</v>
      </c>
      <c r="F266" s="4">
        <v>165000</v>
      </c>
      <c r="G266" s="5" t="s">
        <v>22</v>
      </c>
      <c r="H266" s="4">
        <v>165000</v>
      </c>
      <c r="I266" s="2">
        <f>H266*83.12</f>
        <v>13714800</v>
      </c>
      <c r="J266" s="5" t="s">
        <v>35</v>
      </c>
      <c r="K266" s="8">
        <v>100</v>
      </c>
      <c r="L266" s="5" t="s">
        <v>35</v>
      </c>
      <c r="M266" s="5" t="s">
        <v>18</v>
      </c>
      <c r="N266" s="5" t="str">
        <f>IF(K266=0,"Onsite",IF(K266=50,"Hybrid","Remote"))</f>
        <v>Remote</v>
      </c>
      <c r="O266" s="5">
        <f>IF(C266="Entrylevel",1,IF(C266="Intermediate",2,IF(C266="Senior",3,4)))</f>
        <v>3</v>
      </c>
    </row>
    <row r="267" spans="1:15" ht="14.4" x14ac:dyDescent="0.3">
      <c r="A267" s="2" t="s">
        <v>374</v>
      </c>
      <c r="B267" s="2">
        <v>2021</v>
      </c>
      <c r="C267" s="3" t="s">
        <v>20</v>
      </c>
      <c r="D267" s="3" t="s">
        <v>14</v>
      </c>
      <c r="E267" s="3" t="s">
        <v>61</v>
      </c>
      <c r="F267" s="2">
        <v>70000</v>
      </c>
      <c r="G267" s="3" t="s">
        <v>27</v>
      </c>
      <c r="H267" s="2">
        <v>96282</v>
      </c>
      <c r="I267" s="2">
        <f>H267*83.12</f>
        <v>8002959.8400000008</v>
      </c>
      <c r="J267" s="3" t="s">
        <v>28</v>
      </c>
      <c r="K267" s="7">
        <v>50</v>
      </c>
      <c r="L267" s="3" t="s">
        <v>28</v>
      </c>
      <c r="M267" s="3" t="s">
        <v>18</v>
      </c>
      <c r="N267" s="5" t="str">
        <f>IF(K267=0,"Onsite",IF(K267=50,"Hybrid","Remote"))</f>
        <v>Hybrid</v>
      </c>
      <c r="O267" s="5">
        <f>IF(C267="Entrylevel",1,IF(C267="Intermediate",2,IF(C267="Senior",3,4)))</f>
        <v>3</v>
      </c>
    </row>
    <row r="268" spans="1:15" ht="14.4" x14ac:dyDescent="0.3">
      <c r="A268" s="4" t="s">
        <v>375</v>
      </c>
      <c r="B268" s="4">
        <v>2021</v>
      </c>
      <c r="C268" s="5" t="s">
        <v>20</v>
      </c>
      <c r="D268" s="5" t="s">
        <v>14</v>
      </c>
      <c r="E268" s="5" t="s">
        <v>376</v>
      </c>
      <c r="F268" s="4">
        <v>170000</v>
      </c>
      <c r="G268" s="5" t="s">
        <v>22</v>
      </c>
      <c r="H268" s="4">
        <v>170000</v>
      </c>
      <c r="I268" s="2">
        <f>H268*83.12</f>
        <v>14130400</v>
      </c>
      <c r="J268" s="5" t="s">
        <v>35</v>
      </c>
      <c r="K268" s="8">
        <v>100</v>
      </c>
      <c r="L268" s="5" t="s">
        <v>35</v>
      </c>
      <c r="M268" s="5" t="s">
        <v>29</v>
      </c>
      <c r="N268" s="5" t="str">
        <f>IF(K268=0,"Onsite",IF(K268=50,"Hybrid","Remote"))</f>
        <v>Remote</v>
      </c>
      <c r="O268" s="5">
        <f>IF(C268="Entrylevel",1,IF(C268="Intermediate",2,IF(C268="Senior",3,4)))</f>
        <v>3</v>
      </c>
    </row>
    <row r="269" spans="1:15" ht="14.4" x14ac:dyDescent="0.3">
      <c r="A269" s="4" t="s">
        <v>382</v>
      </c>
      <c r="B269" s="4">
        <v>2021</v>
      </c>
      <c r="C269" s="5" t="s">
        <v>20</v>
      </c>
      <c r="D269" s="5" t="s">
        <v>14</v>
      </c>
      <c r="E269" s="5" t="s">
        <v>383</v>
      </c>
      <c r="F269" s="4">
        <v>125000</v>
      </c>
      <c r="G269" s="5" t="s">
        <v>92</v>
      </c>
      <c r="H269" s="4">
        <v>99703</v>
      </c>
      <c r="I269" s="2">
        <f>H269*83.12</f>
        <v>8287313.3600000003</v>
      </c>
      <c r="J269" s="5" t="s">
        <v>93</v>
      </c>
      <c r="K269" s="8">
        <v>50</v>
      </c>
      <c r="L269" s="5" t="s">
        <v>93</v>
      </c>
      <c r="M269" s="5" t="s">
        <v>29</v>
      </c>
      <c r="N269" s="5" t="str">
        <f>IF(K269=0,"Onsite",IF(K269=50,"Hybrid","Remote"))</f>
        <v>Hybrid</v>
      </c>
      <c r="O269" s="5">
        <f>IF(C269="Entrylevel",1,IF(C269="Intermediate",2,IF(C269="Senior",3,4)))</f>
        <v>3</v>
      </c>
    </row>
    <row r="270" spans="1:15" ht="14.4" x14ac:dyDescent="0.3">
      <c r="A270" s="4" t="s">
        <v>385</v>
      </c>
      <c r="B270" s="4">
        <v>2021</v>
      </c>
      <c r="C270" s="5" t="s">
        <v>20</v>
      </c>
      <c r="D270" s="5" t="s">
        <v>14</v>
      </c>
      <c r="E270" s="5" t="s">
        <v>134</v>
      </c>
      <c r="F270" s="4">
        <v>147000</v>
      </c>
      <c r="G270" s="5" t="s">
        <v>16</v>
      </c>
      <c r="H270" s="4">
        <v>173762</v>
      </c>
      <c r="I270" s="2">
        <f>H270*83.12</f>
        <v>14443097.440000001</v>
      </c>
      <c r="J270" s="5" t="s">
        <v>17</v>
      </c>
      <c r="K270" s="8">
        <v>100</v>
      </c>
      <c r="L270" s="5" t="s">
        <v>17</v>
      </c>
      <c r="M270" s="5" t="s">
        <v>29</v>
      </c>
      <c r="N270" s="5" t="str">
        <f>IF(K270=0,"Onsite",IF(K270=50,"Hybrid","Remote"))</f>
        <v>Remote</v>
      </c>
      <c r="O270" s="5">
        <f>IF(C270="Entrylevel",1,IF(C270="Intermediate",2,IF(C270="Senior",3,4)))</f>
        <v>3</v>
      </c>
    </row>
    <row r="271" spans="1:15" ht="14.4" x14ac:dyDescent="0.3">
      <c r="A271" s="2" t="s">
        <v>386</v>
      </c>
      <c r="B271" s="2">
        <v>2021</v>
      </c>
      <c r="C271" s="3" t="s">
        <v>20</v>
      </c>
      <c r="D271" s="3" t="s">
        <v>14</v>
      </c>
      <c r="E271" s="3" t="s">
        <v>34</v>
      </c>
      <c r="F271" s="2">
        <v>185000</v>
      </c>
      <c r="G271" s="3" t="s">
        <v>22</v>
      </c>
      <c r="H271" s="2">
        <v>185000</v>
      </c>
      <c r="I271" s="2">
        <f>H271*83.12</f>
        <v>15377200</v>
      </c>
      <c r="J271" s="3" t="s">
        <v>35</v>
      </c>
      <c r="K271" s="7">
        <v>50</v>
      </c>
      <c r="L271" s="3" t="s">
        <v>35</v>
      </c>
      <c r="M271" s="3" t="s">
        <v>18</v>
      </c>
      <c r="N271" s="5" t="str">
        <f>IF(K271=0,"Onsite",IF(K271=50,"Hybrid","Remote"))</f>
        <v>Hybrid</v>
      </c>
      <c r="O271" s="5">
        <f>IF(C271="Entrylevel",1,IF(C271="Intermediate",2,IF(C271="Senior",3,4)))</f>
        <v>3</v>
      </c>
    </row>
    <row r="272" spans="1:15" ht="14.4" x14ac:dyDescent="0.3">
      <c r="A272" s="4" t="s">
        <v>389</v>
      </c>
      <c r="B272" s="4">
        <v>2021</v>
      </c>
      <c r="C272" s="5" t="s">
        <v>20</v>
      </c>
      <c r="D272" s="5" t="s">
        <v>14</v>
      </c>
      <c r="E272" s="5" t="s">
        <v>38</v>
      </c>
      <c r="F272" s="4">
        <v>54000</v>
      </c>
      <c r="G272" s="5" t="s">
        <v>16</v>
      </c>
      <c r="H272" s="4">
        <v>63831</v>
      </c>
      <c r="I272" s="2">
        <f>H272*83.12</f>
        <v>5305632.7200000007</v>
      </c>
      <c r="J272" s="5" t="s">
        <v>17</v>
      </c>
      <c r="K272" s="8">
        <v>50</v>
      </c>
      <c r="L272" s="5" t="s">
        <v>17</v>
      </c>
      <c r="M272" s="5" t="s">
        <v>18</v>
      </c>
      <c r="N272" s="5" t="str">
        <f>IF(K272=0,"Onsite",IF(K272=50,"Hybrid","Remote"))</f>
        <v>Hybrid</v>
      </c>
      <c r="O272" s="5">
        <f>IF(C272="Entrylevel",1,IF(C272="Intermediate",2,IF(C272="Senior",3,4)))</f>
        <v>3</v>
      </c>
    </row>
    <row r="273" spans="1:15" ht="14.4" x14ac:dyDescent="0.3">
      <c r="A273" s="4" t="s">
        <v>391</v>
      </c>
      <c r="B273" s="4">
        <v>2021</v>
      </c>
      <c r="C273" s="5" t="s">
        <v>20</v>
      </c>
      <c r="D273" s="5" t="s">
        <v>14</v>
      </c>
      <c r="E273" s="5" t="s">
        <v>34</v>
      </c>
      <c r="F273" s="4">
        <v>4900000</v>
      </c>
      <c r="G273" s="5" t="s">
        <v>52</v>
      </c>
      <c r="H273" s="4">
        <v>66265</v>
      </c>
      <c r="I273" s="2">
        <f>H273*83.12</f>
        <v>5507946.8000000007</v>
      </c>
      <c r="J273" s="5" t="s">
        <v>53</v>
      </c>
      <c r="K273" s="8">
        <v>0</v>
      </c>
      <c r="L273" s="5" t="s">
        <v>53</v>
      </c>
      <c r="M273" s="5" t="s">
        <v>18</v>
      </c>
      <c r="N273" s="5" t="str">
        <f>IF(K273=0,"Onsite",IF(K273=50,"Hybrid","Remote"))</f>
        <v>Onsite</v>
      </c>
      <c r="O273" s="5">
        <f>IF(C273="Entrylevel",1,IF(C273="Intermediate",2,IF(C273="Senior",3,4)))</f>
        <v>3</v>
      </c>
    </row>
    <row r="274" spans="1:15" ht="14.4" x14ac:dyDescent="0.3">
      <c r="A274" s="4" t="s">
        <v>394</v>
      </c>
      <c r="B274" s="4">
        <v>2021</v>
      </c>
      <c r="C274" s="5" t="s">
        <v>20</v>
      </c>
      <c r="D274" s="5" t="s">
        <v>14</v>
      </c>
      <c r="E274" s="5" t="s">
        <v>47</v>
      </c>
      <c r="F274" s="4">
        <v>160000</v>
      </c>
      <c r="G274" s="5" t="s">
        <v>22</v>
      </c>
      <c r="H274" s="4">
        <v>160000</v>
      </c>
      <c r="I274" s="2">
        <f>H274*83.12</f>
        <v>13299200</v>
      </c>
      <c r="J274" s="5" t="s">
        <v>395</v>
      </c>
      <c r="K274" s="8">
        <v>50</v>
      </c>
      <c r="L274" s="5" t="s">
        <v>35</v>
      </c>
      <c r="M274" s="5" t="s">
        <v>24</v>
      </c>
      <c r="N274" s="5" t="str">
        <f>IF(K274=0,"Onsite",IF(K274=50,"Hybrid","Remote"))</f>
        <v>Hybrid</v>
      </c>
      <c r="O274" s="5">
        <f>IF(C274="Entrylevel",1,IF(C274="Intermediate",2,IF(C274="Senior",3,4)))</f>
        <v>3</v>
      </c>
    </row>
    <row r="275" spans="1:15" ht="14.4" x14ac:dyDescent="0.3">
      <c r="A275" s="4" t="s">
        <v>401</v>
      </c>
      <c r="B275" s="4">
        <v>2021</v>
      </c>
      <c r="C275" s="5" t="s">
        <v>20</v>
      </c>
      <c r="D275" s="5" t="s">
        <v>14</v>
      </c>
      <c r="E275" s="5" t="s">
        <v>131</v>
      </c>
      <c r="F275" s="4">
        <v>102000</v>
      </c>
      <c r="G275" s="5" t="s">
        <v>325</v>
      </c>
      <c r="H275" s="4">
        <v>18907</v>
      </c>
      <c r="I275" s="2">
        <f>H275*83.12</f>
        <v>1571549.84</v>
      </c>
      <c r="J275" s="5" t="s">
        <v>190</v>
      </c>
      <c r="K275" s="8">
        <v>0</v>
      </c>
      <c r="L275" s="5" t="s">
        <v>190</v>
      </c>
      <c r="M275" s="5" t="s">
        <v>29</v>
      </c>
      <c r="N275" s="5" t="str">
        <f>IF(K275=0,"Onsite",IF(K275=50,"Hybrid","Remote"))</f>
        <v>Onsite</v>
      </c>
      <c r="O275" s="5">
        <f>IF(C275="Entrylevel",1,IF(C275="Intermediate",2,IF(C275="Senior",3,4)))</f>
        <v>3</v>
      </c>
    </row>
    <row r="276" spans="1:15" ht="14.4" x14ac:dyDescent="0.3">
      <c r="A276" s="2" t="s">
        <v>404</v>
      </c>
      <c r="B276" s="2">
        <v>2021</v>
      </c>
      <c r="C276" s="3" t="s">
        <v>20</v>
      </c>
      <c r="D276" s="3" t="s">
        <v>14</v>
      </c>
      <c r="E276" s="3" t="s">
        <v>15</v>
      </c>
      <c r="F276" s="2">
        <v>65720</v>
      </c>
      <c r="G276" s="3" t="s">
        <v>16</v>
      </c>
      <c r="H276" s="2">
        <v>77684</v>
      </c>
      <c r="I276" s="2">
        <f>H276*83.12</f>
        <v>6457094.0800000001</v>
      </c>
      <c r="J276" s="3" t="s">
        <v>50</v>
      </c>
      <c r="K276" s="7">
        <v>50</v>
      </c>
      <c r="L276" s="3" t="s">
        <v>50</v>
      </c>
      <c r="M276" s="3" t="s">
        <v>29</v>
      </c>
      <c r="N276" s="5" t="str">
        <f>IF(K276=0,"Onsite",IF(K276=50,"Hybrid","Remote"))</f>
        <v>Hybrid</v>
      </c>
      <c r="O276" s="5">
        <f>IF(C276="Entrylevel",1,IF(C276="Intermediate",2,IF(C276="Senior",3,4)))</f>
        <v>3</v>
      </c>
    </row>
    <row r="277" spans="1:15" ht="14.4" x14ac:dyDescent="0.3">
      <c r="A277" s="4" t="s">
        <v>407</v>
      </c>
      <c r="B277" s="4">
        <v>2021</v>
      </c>
      <c r="C277" s="5" t="s">
        <v>20</v>
      </c>
      <c r="D277" s="5" t="s">
        <v>14</v>
      </c>
      <c r="E277" s="5" t="s">
        <v>125</v>
      </c>
      <c r="F277" s="4">
        <v>55000</v>
      </c>
      <c r="G277" s="5" t="s">
        <v>22</v>
      </c>
      <c r="H277" s="4">
        <v>55000</v>
      </c>
      <c r="I277" s="2">
        <f>H277*83.12</f>
        <v>4571600</v>
      </c>
      <c r="J277" s="5" t="s">
        <v>110</v>
      </c>
      <c r="K277" s="8">
        <v>100</v>
      </c>
      <c r="L277" s="5" t="s">
        <v>110</v>
      </c>
      <c r="M277" s="5" t="s">
        <v>18</v>
      </c>
      <c r="N277" s="5" t="str">
        <f>IF(K277=0,"Onsite",IF(K277=50,"Hybrid","Remote"))</f>
        <v>Remote</v>
      </c>
      <c r="O277" s="5">
        <f>IF(C277="Entrylevel",1,IF(C277="Intermediate",2,IF(C277="Senior",3,4)))</f>
        <v>3</v>
      </c>
    </row>
    <row r="278" spans="1:15" ht="14.4" x14ac:dyDescent="0.3">
      <c r="A278" s="2" t="s">
        <v>408</v>
      </c>
      <c r="B278" s="2">
        <v>2021</v>
      </c>
      <c r="C278" s="3" t="s">
        <v>20</v>
      </c>
      <c r="D278" s="3" t="s">
        <v>14</v>
      </c>
      <c r="E278" s="3" t="s">
        <v>15</v>
      </c>
      <c r="F278" s="2">
        <v>180000</v>
      </c>
      <c r="G278" s="3" t="s">
        <v>372</v>
      </c>
      <c r="H278" s="2">
        <v>20171</v>
      </c>
      <c r="I278" s="2">
        <f>H278*83.12</f>
        <v>1676613.52</v>
      </c>
      <c r="J278" s="3" t="s">
        <v>373</v>
      </c>
      <c r="K278" s="7">
        <v>50</v>
      </c>
      <c r="L278" s="3" t="s">
        <v>373</v>
      </c>
      <c r="M278" s="3" t="s">
        <v>18</v>
      </c>
      <c r="N278" s="5" t="str">
        <f>IF(K278=0,"Onsite",IF(K278=50,"Hybrid","Remote"))</f>
        <v>Hybrid</v>
      </c>
      <c r="O278" s="5">
        <f>IF(C278="Entrylevel",1,IF(C278="Intermediate",2,IF(C278="Senior",3,4)))</f>
        <v>3</v>
      </c>
    </row>
    <row r="279" spans="1:15" ht="14.4" x14ac:dyDescent="0.3">
      <c r="A279" s="4" t="s">
        <v>414</v>
      </c>
      <c r="B279" s="4">
        <v>2021</v>
      </c>
      <c r="C279" s="5" t="s">
        <v>20</v>
      </c>
      <c r="D279" s="5" t="s">
        <v>89</v>
      </c>
      <c r="E279" s="5" t="s">
        <v>415</v>
      </c>
      <c r="F279" s="4">
        <v>105000</v>
      </c>
      <c r="G279" s="5" t="s">
        <v>22</v>
      </c>
      <c r="H279" s="4">
        <v>105000</v>
      </c>
      <c r="I279" s="2">
        <f>H279*83.12</f>
        <v>8727600</v>
      </c>
      <c r="J279" s="5" t="s">
        <v>35</v>
      </c>
      <c r="K279" s="8">
        <v>100</v>
      </c>
      <c r="L279" s="5" t="s">
        <v>35</v>
      </c>
      <c r="M279" s="5" t="s">
        <v>29</v>
      </c>
      <c r="N279" s="5" t="str">
        <f>IF(K279=0,"Onsite",IF(K279=50,"Hybrid","Remote"))</f>
        <v>Remote</v>
      </c>
      <c r="O279" s="5">
        <f>IF(C279="Entrylevel",1,IF(C279="Intermediate",2,IF(C279="Senior",3,4)))</f>
        <v>3</v>
      </c>
    </row>
    <row r="280" spans="1:15" ht="14.4" x14ac:dyDescent="0.3">
      <c r="A280" s="4" t="s">
        <v>418</v>
      </c>
      <c r="B280" s="4">
        <v>2021</v>
      </c>
      <c r="C280" s="5" t="s">
        <v>20</v>
      </c>
      <c r="D280" s="5" t="s">
        <v>14</v>
      </c>
      <c r="E280" s="5" t="s">
        <v>149</v>
      </c>
      <c r="F280" s="4">
        <v>7000000</v>
      </c>
      <c r="G280" s="5" t="s">
        <v>52</v>
      </c>
      <c r="H280" s="4">
        <v>94665</v>
      </c>
      <c r="I280" s="2">
        <f>H280*83.12</f>
        <v>7868554.8000000007</v>
      </c>
      <c r="J280" s="5" t="s">
        <v>53</v>
      </c>
      <c r="K280" s="8">
        <v>50</v>
      </c>
      <c r="L280" s="5" t="s">
        <v>53</v>
      </c>
      <c r="M280" s="5" t="s">
        <v>18</v>
      </c>
      <c r="N280" s="5" t="str">
        <f>IF(K280=0,"Onsite",IF(K280=50,"Hybrid","Remote"))</f>
        <v>Hybrid</v>
      </c>
      <c r="O280" s="5">
        <f>IF(C280="Entrylevel",1,IF(C280="Intermediate",2,IF(C280="Senior",3,4)))</f>
        <v>3</v>
      </c>
    </row>
    <row r="281" spans="1:15" ht="14.4" x14ac:dyDescent="0.3">
      <c r="A281" s="2" t="s">
        <v>419</v>
      </c>
      <c r="B281" s="2">
        <v>2021</v>
      </c>
      <c r="C281" s="3" t="s">
        <v>20</v>
      </c>
      <c r="D281" s="3" t="s">
        <v>14</v>
      </c>
      <c r="E281" s="3" t="s">
        <v>158</v>
      </c>
      <c r="F281" s="2">
        <v>87000</v>
      </c>
      <c r="G281" s="3" t="s">
        <v>16</v>
      </c>
      <c r="H281" s="2">
        <v>102839</v>
      </c>
      <c r="I281" s="2">
        <f>H281*83.12</f>
        <v>8547977.6799999997</v>
      </c>
      <c r="J281" s="3" t="s">
        <v>331</v>
      </c>
      <c r="K281" s="7">
        <v>100</v>
      </c>
      <c r="L281" s="3" t="s">
        <v>331</v>
      </c>
      <c r="M281" s="3" t="s">
        <v>18</v>
      </c>
      <c r="N281" s="5" t="str">
        <f>IF(K281=0,"Onsite",IF(K281=50,"Hybrid","Remote"))</f>
        <v>Remote</v>
      </c>
      <c r="O281" s="5">
        <f>IF(C281="Entrylevel",1,IF(C281="Intermediate",2,IF(C281="Senior",3,4)))</f>
        <v>3</v>
      </c>
    </row>
    <row r="282" spans="1:15" ht="14.4" x14ac:dyDescent="0.3">
      <c r="A282" s="4" t="s">
        <v>422</v>
      </c>
      <c r="B282" s="4">
        <v>2022</v>
      </c>
      <c r="C282" s="5" t="s">
        <v>20</v>
      </c>
      <c r="D282" s="5" t="s">
        <v>14</v>
      </c>
      <c r="E282" s="5" t="s">
        <v>61</v>
      </c>
      <c r="F282" s="4">
        <v>135000</v>
      </c>
      <c r="G282" s="5" t="s">
        <v>22</v>
      </c>
      <c r="H282" s="4">
        <v>135000</v>
      </c>
      <c r="I282" s="2">
        <f>H282*83.12</f>
        <v>11221200</v>
      </c>
      <c r="J282" s="5" t="s">
        <v>35</v>
      </c>
      <c r="K282" s="8">
        <v>100</v>
      </c>
      <c r="L282" s="5" t="s">
        <v>35</v>
      </c>
      <c r="M282" s="5" t="s">
        <v>29</v>
      </c>
      <c r="N282" s="5" t="str">
        <f>IF(K282=0,"Onsite",IF(K282=50,"Hybrid","Remote"))</f>
        <v>Remote</v>
      </c>
      <c r="O282" s="5">
        <f>IF(C282="Entrylevel",1,IF(C282="Intermediate",2,IF(C282="Senior",3,4)))</f>
        <v>3</v>
      </c>
    </row>
    <row r="283" spans="1:15" ht="14.4" x14ac:dyDescent="0.3">
      <c r="A283" s="2" t="s">
        <v>423</v>
      </c>
      <c r="B283" s="2">
        <v>2022</v>
      </c>
      <c r="C283" s="3" t="s">
        <v>20</v>
      </c>
      <c r="D283" s="3" t="s">
        <v>14</v>
      </c>
      <c r="E283" s="3" t="s">
        <v>38</v>
      </c>
      <c r="F283" s="2">
        <v>155000</v>
      </c>
      <c r="G283" s="3" t="s">
        <v>22</v>
      </c>
      <c r="H283" s="2">
        <v>155000</v>
      </c>
      <c r="I283" s="2">
        <f>H283*83.12</f>
        <v>12883600</v>
      </c>
      <c r="J283" s="3" t="s">
        <v>35</v>
      </c>
      <c r="K283" s="7">
        <v>100</v>
      </c>
      <c r="L283" s="3" t="s">
        <v>35</v>
      </c>
      <c r="M283" s="3" t="s">
        <v>29</v>
      </c>
      <c r="N283" s="5" t="str">
        <f>IF(K283=0,"Onsite",IF(K283=50,"Hybrid","Remote"))</f>
        <v>Remote</v>
      </c>
      <c r="O283" s="5">
        <f>IF(C283="Entrylevel",1,IF(C283="Intermediate",2,IF(C283="Senior",3,4)))</f>
        <v>3</v>
      </c>
    </row>
    <row r="284" spans="1:15" ht="14.4" x14ac:dyDescent="0.3">
      <c r="A284" s="4" t="s">
        <v>424</v>
      </c>
      <c r="B284" s="4">
        <v>2022</v>
      </c>
      <c r="C284" s="5" t="s">
        <v>20</v>
      </c>
      <c r="D284" s="5" t="s">
        <v>14</v>
      </c>
      <c r="E284" s="5" t="s">
        <v>38</v>
      </c>
      <c r="F284" s="4">
        <v>120600</v>
      </c>
      <c r="G284" s="5" t="s">
        <v>22</v>
      </c>
      <c r="H284" s="4">
        <v>120600</v>
      </c>
      <c r="I284" s="2">
        <f>H284*83.12</f>
        <v>10024272</v>
      </c>
      <c r="J284" s="5" t="s">
        <v>35</v>
      </c>
      <c r="K284" s="8">
        <v>100</v>
      </c>
      <c r="L284" s="5" t="s">
        <v>35</v>
      </c>
      <c r="M284" s="5" t="s">
        <v>29</v>
      </c>
      <c r="N284" s="5" t="str">
        <f>IF(K284=0,"Onsite",IF(K284=50,"Hybrid","Remote"))</f>
        <v>Remote</v>
      </c>
      <c r="O284" s="5">
        <f>IF(C284="Entrylevel",1,IF(C284="Intermediate",2,IF(C284="Senior",3,4)))</f>
        <v>3</v>
      </c>
    </row>
    <row r="285" spans="1:15" ht="14.4" x14ac:dyDescent="0.3">
      <c r="A285" s="2" t="s">
        <v>429</v>
      </c>
      <c r="B285" s="2">
        <v>2022</v>
      </c>
      <c r="C285" s="3" t="s">
        <v>20</v>
      </c>
      <c r="D285" s="3" t="s">
        <v>14</v>
      </c>
      <c r="E285" s="3" t="s">
        <v>38</v>
      </c>
      <c r="F285" s="2">
        <v>102100</v>
      </c>
      <c r="G285" s="3" t="s">
        <v>22</v>
      </c>
      <c r="H285" s="2">
        <v>102100</v>
      </c>
      <c r="I285" s="2">
        <f>H285*83.12</f>
        <v>8486552</v>
      </c>
      <c r="J285" s="3" t="s">
        <v>35</v>
      </c>
      <c r="K285" s="7">
        <v>100</v>
      </c>
      <c r="L285" s="3" t="s">
        <v>35</v>
      </c>
      <c r="M285" s="3" t="s">
        <v>29</v>
      </c>
      <c r="N285" s="5" t="str">
        <f>IF(K285=0,"Onsite",IF(K285=50,"Hybrid","Remote"))</f>
        <v>Remote</v>
      </c>
      <c r="O285" s="5">
        <f>IF(C285="Entrylevel",1,IF(C285="Intermediate",2,IF(C285="Senior",3,4)))</f>
        <v>3</v>
      </c>
    </row>
    <row r="286" spans="1:15" ht="14.4" x14ac:dyDescent="0.3">
      <c r="A286" s="4" t="s">
        <v>430</v>
      </c>
      <c r="B286" s="4">
        <v>2022</v>
      </c>
      <c r="C286" s="5" t="s">
        <v>20</v>
      </c>
      <c r="D286" s="5" t="s">
        <v>14</v>
      </c>
      <c r="E286" s="5" t="s">
        <v>38</v>
      </c>
      <c r="F286" s="4">
        <v>84900</v>
      </c>
      <c r="G286" s="5" t="s">
        <v>22</v>
      </c>
      <c r="H286" s="4">
        <v>84900</v>
      </c>
      <c r="I286" s="2">
        <f>H286*83.12</f>
        <v>7056888</v>
      </c>
      <c r="J286" s="5" t="s">
        <v>35</v>
      </c>
      <c r="K286" s="8">
        <v>100</v>
      </c>
      <c r="L286" s="5" t="s">
        <v>35</v>
      </c>
      <c r="M286" s="5" t="s">
        <v>29</v>
      </c>
      <c r="N286" s="5" t="str">
        <f>IF(K286=0,"Onsite",IF(K286=50,"Hybrid","Remote"))</f>
        <v>Remote</v>
      </c>
      <c r="O286" s="5">
        <f>IF(C286="Entrylevel",1,IF(C286="Intermediate",2,IF(C286="Senior",3,4)))</f>
        <v>3</v>
      </c>
    </row>
    <row r="287" spans="1:15" ht="14.4" x14ac:dyDescent="0.3">
      <c r="A287" s="2" t="s">
        <v>431</v>
      </c>
      <c r="B287" s="2">
        <v>2022</v>
      </c>
      <c r="C287" s="3" t="s">
        <v>20</v>
      </c>
      <c r="D287" s="3" t="s">
        <v>14</v>
      </c>
      <c r="E287" s="3" t="s">
        <v>15</v>
      </c>
      <c r="F287" s="2">
        <v>136620</v>
      </c>
      <c r="G287" s="3" t="s">
        <v>22</v>
      </c>
      <c r="H287" s="2">
        <v>136620</v>
      </c>
      <c r="I287" s="2">
        <f>H287*83.12</f>
        <v>11355854.4</v>
      </c>
      <c r="J287" s="3" t="s">
        <v>35</v>
      </c>
      <c r="K287" s="7">
        <v>100</v>
      </c>
      <c r="L287" s="3" t="s">
        <v>35</v>
      </c>
      <c r="M287" s="3" t="s">
        <v>29</v>
      </c>
      <c r="N287" s="5" t="str">
        <f>IF(K287=0,"Onsite",IF(K287=50,"Hybrid","Remote"))</f>
        <v>Remote</v>
      </c>
      <c r="O287" s="5">
        <f>IF(C287="Entrylevel",1,IF(C287="Intermediate",2,IF(C287="Senior",3,4)))</f>
        <v>3</v>
      </c>
    </row>
    <row r="288" spans="1:15" ht="14.4" x14ac:dyDescent="0.3">
      <c r="A288" s="4" t="s">
        <v>432</v>
      </c>
      <c r="B288" s="4">
        <v>2022</v>
      </c>
      <c r="C288" s="5" t="s">
        <v>20</v>
      </c>
      <c r="D288" s="5" t="s">
        <v>14</v>
      </c>
      <c r="E288" s="5" t="s">
        <v>15</v>
      </c>
      <c r="F288" s="4">
        <v>99360</v>
      </c>
      <c r="G288" s="5" t="s">
        <v>22</v>
      </c>
      <c r="H288" s="4">
        <v>99360</v>
      </c>
      <c r="I288" s="2">
        <f>H288*83.12</f>
        <v>8258803.2000000002</v>
      </c>
      <c r="J288" s="5" t="s">
        <v>35</v>
      </c>
      <c r="K288" s="8">
        <v>100</v>
      </c>
      <c r="L288" s="5" t="s">
        <v>35</v>
      </c>
      <c r="M288" s="5" t="s">
        <v>29</v>
      </c>
      <c r="N288" s="5" t="str">
        <f>IF(K288=0,"Onsite",IF(K288=50,"Hybrid","Remote"))</f>
        <v>Remote</v>
      </c>
      <c r="O288" s="5">
        <f>IF(C288="Entrylevel",1,IF(C288="Intermediate",2,IF(C288="Senior",3,4)))</f>
        <v>3</v>
      </c>
    </row>
    <row r="289" spans="1:15" ht="14.4" x14ac:dyDescent="0.3">
      <c r="A289" s="4" t="s">
        <v>79</v>
      </c>
      <c r="B289" s="4">
        <v>2020</v>
      </c>
      <c r="C289" s="5" t="s">
        <v>80</v>
      </c>
      <c r="D289" s="5" t="s">
        <v>14</v>
      </c>
      <c r="E289" s="5" t="s">
        <v>81</v>
      </c>
      <c r="F289" s="4">
        <v>325000</v>
      </c>
      <c r="G289" s="5" t="s">
        <v>22</v>
      </c>
      <c r="H289" s="4">
        <v>325000</v>
      </c>
      <c r="I289" s="2">
        <f>H289*83.12</f>
        <v>27014000</v>
      </c>
      <c r="J289" s="5" t="s">
        <v>35</v>
      </c>
      <c r="K289" s="8">
        <v>100</v>
      </c>
      <c r="L289" s="5" t="s">
        <v>35</v>
      </c>
      <c r="M289" s="5" t="s">
        <v>18</v>
      </c>
      <c r="N289" s="5" t="str">
        <f>IF(K289=0,"Onsite",IF(K289=50,"Hybrid","Remote"))</f>
        <v>Remote</v>
      </c>
      <c r="O289" s="5">
        <f>IF(C289="Entrylevel",1,IF(C289="Intermediate",2,IF(C289="Senior",3,4)))</f>
        <v>4</v>
      </c>
    </row>
    <row r="290" spans="1:15" ht="14.4" x14ac:dyDescent="0.3">
      <c r="A290" s="4" t="s">
        <v>109</v>
      </c>
      <c r="B290" s="4">
        <v>2020</v>
      </c>
      <c r="C290" s="5" t="s">
        <v>80</v>
      </c>
      <c r="D290" s="5" t="s">
        <v>14</v>
      </c>
      <c r="E290" s="5" t="s">
        <v>95</v>
      </c>
      <c r="F290" s="4">
        <v>70000</v>
      </c>
      <c r="G290" s="5" t="s">
        <v>16</v>
      </c>
      <c r="H290" s="4">
        <v>79833</v>
      </c>
      <c r="I290" s="2">
        <f>H290*83.12</f>
        <v>6635718.96</v>
      </c>
      <c r="J290" s="5" t="s">
        <v>110</v>
      </c>
      <c r="K290" s="8">
        <v>50</v>
      </c>
      <c r="L290" s="5" t="s">
        <v>110</v>
      </c>
      <c r="M290" s="5" t="s">
        <v>18</v>
      </c>
      <c r="N290" s="5" t="str">
        <f>IF(K290=0,"Onsite",IF(K290=50,"Hybrid","Remote"))</f>
        <v>Hybrid</v>
      </c>
      <c r="O290" s="5">
        <f>IF(C290="Entrylevel",1,IF(C290="Intermediate",2,IF(C290="Senior",3,4)))</f>
        <v>4</v>
      </c>
    </row>
    <row r="291" spans="1:15" ht="14.4" x14ac:dyDescent="0.3">
      <c r="A291" s="4" t="s">
        <v>156</v>
      </c>
      <c r="B291" s="4">
        <v>2021</v>
      </c>
      <c r="C291" s="5" t="s">
        <v>80</v>
      </c>
      <c r="D291" s="5" t="s">
        <v>14</v>
      </c>
      <c r="E291" s="5" t="s">
        <v>76</v>
      </c>
      <c r="F291" s="4">
        <v>150000</v>
      </c>
      <c r="G291" s="5" t="s">
        <v>22</v>
      </c>
      <c r="H291" s="4">
        <v>150000</v>
      </c>
      <c r="I291" s="2">
        <f>H291*83.12</f>
        <v>12468000</v>
      </c>
      <c r="J291" s="5" t="s">
        <v>53</v>
      </c>
      <c r="K291" s="8">
        <v>100</v>
      </c>
      <c r="L291" s="5" t="s">
        <v>35</v>
      </c>
      <c r="M291" s="5" t="s">
        <v>18</v>
      </c>
      <c r="N291" s="5" t="str">
        <f>IF(K291=0,"Onsite",IF(K291=50,"Hybrid","Remote"))</f>
        <v>Remote</v>
      </c>
      <c r="O291" s="5">
        <f>IF(C291="Entrylevel",1,IF(C291="Intermediate",2,IF(C291="Senior",3,4)))</f>
        <v>4</v>
      </c>
    </row>
    <row r="292" spans="1:15" ht="14.4" x14ac:dyDescent="0.3">
      <c r="A292" s="2" t="s">
        <v>157</v>
      </c>
      <c r="B292" s="2">
        <v>2021</v>
      </c>
      <c r="C292" s="3" t="s">
        <v>80</v>
      </c>
      <c r="D292" s="3" t="s">
        <v>14</v>
      </c>
      <c r="E292" s="3" t="s">
        <v>158</v>
      </c>
      <c r="F292" s="2">
        <v>235000</v>
      </c>
      <c r="G292" s="3" t="s">
        <v>22</v>
      </c>
      <c r="H292" s="2">
        <v>235000</v>
      </c>
      <c r="I292" s="2">
        <f>H292*83.12</f>
        <v>19533200</v>
      </c>
      <c r="J292" s="3" t="s">
        <v>35</v>
      </c>
      <c r="K292" s="7">
        <v>100</v>
      </c>
      <c r="L292" s="3" t="s">
        <v>35</v>
      </c>
      <c r="M292" s="3" t="s">
        <v>18</v>
      </c>
      <c r="N292" s="5" t="str">
        <f>IF(K292=0,"Onsite",IF(K292=50,"Hybrid","Remote"))</f>
        <v>Remote</v>
      </c>
      <c r="O292" s="5">
        <f>IF(C292="Entrylevel",1,IF(C292="Intermediate",2,IF(C292="Senior",3,4)))</f>
        <v>4</v>
      </c>
    </row>
    <row r="293" spans="1:15" ht="14.4" x14ac:dyDescent="0.3">
      <c r="A293" s="2" t="s">
        <v>171</v>
      </c>
      <c r="B293" s="2">
        <v>2021</v>
      </c>
      <c r="C293" s="3" t="s">
        <v>80</v>
      </c>
      <c r="D293" s="3" t="s">
        <v>14</v>
      </c>
      <c r="E293" s="3" t="s">
        <v>81</v>
      </c>
      <c r="F293" s="2">
        <v>130000</v>
      </c>
      <c r="G293" s="3" t="s">
        <v>16</v>
      </c>
      <c r="H293" s="2">
        <v>153667</v>
      </c>
      <c r="I293" s="2">
        <f>H293*83.12</f>
        <v>12772801.040000001</v>
      </c>
      <c r="J293" s="3" t="s">
        <v>142</v>
      </c>
      <c r="K293" s="7">
        <v>100</v>
      </c>
      <c r="L293" s="3" t="s">
        <v>64</v>
      </c>
      <c r="M293" s="3" t="s">
        <v>18</v>
      </c>
      <c r="N293" s="5" t="str">
        <f>IF(K293=0,"Onsite",IF(K293=50,"Hybrid","Remote"))</f>
        <v>Remote</v>
      </c>
      <c r="O293" s="5">
        <f>IF(C293="Entrylevel",1,IF(C293="Intermediate",2,IF(C293="Senior",3,4)))</f>
        <v>4</v>
      </c>
    </row>
    <row r="294" spans="1:15" ht="14.4" x14ac:dyDescent="0.3">
      <c r="A294" s="2" t="s">
        <v>268</v>
      </c>
      <c r="B294" s="2">
        <v>2021</v>
      </c>
      <c r="C294" s="3" t="s">
        <v>80</v>
      </c>
      <c r="D294" s="3" t="s">
        <v>14</v>
      </c>
      <c r="E294" s="3" t="s">
        <v>158</v>
      </c>
      <c r="F294" s="2">
        <v>230000</v>
      </c>
      <c r="G294" s="3" t="s">
        <v>22</v>
      </c>
      <c r="H294" s="2">
        <v>230000</v>
      </c>
      <c r="I294" s="2">
        <f>H294*83.12</f>
        <v>19117600</v>
      </c>
      <c r="J294" s="3" t="s">
        <v>132</v>
      </c>
      <c r="K294" s="7">
        <v>50</v>
      </c>
      <c r="L294" s="3" t="s">
        <v>132</v>
      </c>
      <c r="M294" s="3" t="s">
        <v>18</v>
      </c>
      <c r="N294" s="5" t="str">
        <f>IF(K294=0,"Onsite",IF(K294=50,"Hybrid","Remote"))</f>
        <v>Hybrid</v>
      </c>
      <c r="O294" s="5">
        <f>IF(C294="Entrylevel",1,IF(C294="Intermediate",2,IF(C294="Senior",3,4)))</f>
        <v>4</v>
      </c>
    </row>
    <row r="295" spans="1:15" ht="14.4" x14ac:dyDescent="0.3">
      <c r="A295" s="4" t="s">
        <v>269</v>
      </c>
      <c r="B295" s="4">
        <v>2021</v>
      </c>
      <c r="C295" s="5" t="s">
        <v>80</v>
      </c>
      <c r="D295" s="5" t="s">
        <v>14</v>
      </c>
      <c r="E295" s="5" t="s">
        <v>270</v>
      </c>
      <c r="F295" s="4">
        <v>85000</v>
      </c>
      <c r="G295" s="5" t="s">
        <v>22</v>
      </c>
      <c r="H295" s="4">
        <v>85000</v>
      </c>
      <c r="I295" s="2">
        <f>H295*83.12</f>
        <v>7065200</v>
      </c>
      <c r="J295" s="5" t="s">
        <v>132</v>
      </c>
      <c r="K295" s="8">
        <v>0</v>
      </c>
      <c r="L295" s="5" t="s">
        <v>132</v>
      </c>
      <c r="M295" s="5" t="s">
        <v>29</v>
      </c>
      <c r="N295" s="5" t="str">
        <f>IF(K295=0,"Onsite",IF(K295=50,"Hybrid","Remote"))</f>
        <v>Onsite</v>
      </c>
      <c r="O295" s="5">
        <f>IF(C295="Entrylevel",1,IF(C295="Intermediate",2,IF(C295="Senior",3,4)))</f>
        <v>4</v>
      </c>
    </row>
    <row r="296" spans="1:15" ht="14.4" x14ac:dyDescent="0.3">
      <c r="A296" s="2" t="s">
        <v>274</v>
      </c>
      <c r="B296" s="2">
        <v>2021</v>
      </c>
      <c r="C296" s="3" t="s">
        <v>80</v>
      </c>
      <c r="D296" s="3" t="s">
        <v>14</v>
      </c>
      <c r="E296" s="3" t="s">
        <v>81</v>
      </c>
      <c r="F296" s="2">
        <v>110000</v>
      </c>
      <c r="G296" s="3" t="s">
        <v>16</v>
      </c>
      <c r="H296" s="2">
        <v>130026</v>
      </c>
      <c r="I296" s="2">
        <f>H296*83.12</f>
        <v>10807761.120000001</v>
      </c>
      <c r="J296" s="3" t="s">
        <v>17</v>
      </c>
      <c r="K296" s="7">
        <v>50</v>
      </c>
      <c r="L296" s="3" t="s">
        <v>17</v>
      </c>
      <c r="M296" s="3" t="s">
        <v>29</v>
      </c>
      <c r="N296" s="5" t="str">
        <f>IF(K296=0,"Onsite",IF(K296=50,"Hybrid","Remote"))</f>
        <v>Hybrid</v>
      </c>
      <c r="O296" s="5">
        <f>IF(C296="Entrylevel",1,IF(C296="Intermediate",2,IF(C296="Senior",3,4)))</f>
        <v>4</v>
      </c>
    </row>
    <row r="297" spans="1:15" ht="14.4" x14ac:dyDescent="0.3">
      <c r="A297" s="4" t="s">
        <v>278</v>
      </c>
      <c r="B297" s="4">
        <v>2021</v>
      </c>
      <c r="C297" s="5" t="s">
        <v>80</v>
      </c>
      <c r="D297" s="5" t="s">
        <v>14</v>
      </c>
      <c r="E297" s="5" t="s">
        <v>81</v>
      </c>
      <c r="F297" s="4">
        <v>250000</v>
      </c>
      <c r="G297" s="5" t="s">
        <v>22</v>
      </c>
      <c r="H297" s="4">
        <v>250000</v>
      </c>
      <c r="I297" s="2">
        <f>H297*83.12</f>
        <v>20780000</v>
      </c>
      <c r="J297" s="5" t="s">
        <v>35</v>
      </c>
      <c r="K297" s="8">
        <v>0</v>
      </c>
      <c r="L297" s="5" t="s">
        <v>35</v>
      </c>
      <c r="M297" s="5" t="s">
        <v>18</v>
      </c>
      <c r="N297" s="5" t="str">
        <f>IF(K297=0,"Onsite",IF(K297=50,"Hybrid","Remote"))</f>
        <v>Onsite</v>
      </c>
      <c r="O297" s="5">
        <f>IF(C297="Entrylevel",1,IF(C297="Intermediate",2,IF(C297="Senior",3,4)))</f>
        <v>4</v>
      </c>
    </row>
    <row r="298" spans="1:15" ht="14.4" x14ac:dyDescent="0.3">
      <c r="A298" s="4" t="s">
        <v>303</v>
      </c>
      <c r="B298" s="4">
        <v>2021</v>
      </c>
      <c r="C298" s="5" t="s">
        <v>80</v>
      </c>
      <c r="D298" s="5" t="s">
        <v>14</v>
      </c>
      <c r="E298" s="5" t="s">
        <v>66</v>
      </c>
      <c r="F298" s="4">
        <v>59000</v>
      </c>
      <c r="G298" s="5" t="s">
        <v>16</v>
      </c>
      <c r="H298" s="4">
        <v>69741</v>
      </c>
      <c r="I298" s="2">
        <f>H298*83.12</f>
        <v>5796871.9199999999</v>
      </c>
      <c r="J298" s="5" t="s">
        <v>50</v>
      </c>
      <c r="K298" s="8">
        <v>100</v>
      </c>
      <c r="L298" s="5" t="s">
        <v>110</v>
      </c>
      <c r="M298" s="5" t="s">
        <v>24</v>
      </c>
      <c r="N298" s="5" t="str">
        <f>IF(K298=0,"Onsite",IF(K298=50,"Hybrid","Remote"))</f>
        <v>Remote</v>
      </c>
      <c r="O298" s="5">
        <f>IF(C298="Entrylevel",1,IF(C298="Intermediate",2,IF(C298="Senior",3,4)))</f>
        <v>4</v>
      </c>
    </row>
    <row r="299" spans="1:15" ht="14.4" x14ac:dyDescent="0.3">
      <c r="A299" s="4" t="s">
        <v>348</v>
      </c>
      <c r="B299" s="4">
        <v>2021</v>
      </c>
      <c r="C299" s="5" t="s">
        <v>80</v>
      </c>
      <c r="D299" s="5" t="s">
        <v>89</v>
      </c>
      <c r="E299" s="5" t="s">
        <v>134</v>
      </c>
      <c r="F299" s="4">
        <v>416000</v>
      </c>
      <c r="G299" s="5" t="s">
        <v>22</v>
      </c>
      <c r="H299" s="4">
        <v>416000</v>
      </c>
      <c r="I299" s="2">
        <f>H299*83.12</f>
        <v>34577920</v>
      </c>
      <c r="J299" s="5" t="s">
        <v>35</v>
      </c>
      <c r="K299" s="8">
        <v>100</v>
      </c>
      <c r="L299" s="5" t="s">
        <v>35</v>
      </c>
      <c r="M299" s="5" t="s">
        <v>24</v>
      </c>
      <c r="N299" s="5" t="str">
        <f>IF(K299=0,"Onsite",IF(K299=50,"Hybrid","Remote"))</f>
        <v>Remote</v>
      </c>
      <c r="O299" s="5">
        <f>IF(C299="Entrylevel",1,IF(C299="Intermediate",2,IF(C299="Senior",3,4)))</f>
        <v>4</v>
      </c>
    </row>
    <row r="300" spans="1:15" ht="14.4" x14ac:dyDescent="0.3">
      <c r="A300" s="2" t="s">
        <v>379</v>
      </c>
      <c r="B300" s="2">
        <v>2021</v>
      </c>
      <c r="C300" s="3" t="s">
        <v>80</v>
      </c>
      <c r="D300" s="3" t="s">
        <v>14</v>
      </c>
      <c r="E300" s="3" t="s">
        <v>221</v>
      </c>
      <c r="F300" s="2">
        <v>600000</v>
      </c>
      <c r="G300" s="3" t="s">
        <v>22</v>
      </c>
      <c r="H300" s="2">
        <v>600000</v>
      </c>
      <c r="I300" s="2">
        <f>H300*83.12</f>
        <v>49872000</v>
      </c>
      <c r="J300" s="3" t="s">
        <v>35</v>
      </c>
      <c r="K300" s="7">
        <v>100</v>
      </c>
      <c r="L300" s="3" t="s">
        <v>35</v>
      </c>
      <c r="M300" s="3" t="s">
        <v>18</v>
      </c>
      <c r="N300" s="5" t="str">
        <f>IF(K300=0,"Onsite",IF(K300=50,"Hybrid","Remote"))</f>
        <v>Remote</v>
      </c>
      <c r="O300" s="5">
        <f>IF(C300="Entrylevel",1,IF(C300="Intermediate",2,IF(C300="Senior",3,4)))</f>
        <v>4</v>
      </c>
    </row>
    <row r="301" spans="1:15" ht="14.4" x14ac:dyDescent="0.3">
      <c r="A301" s="4" t="s">
        <v>387</v>
      </c>
      <c r="B301" s="4">
        <v>2021</v>
      </c>
      <c r="C301" s="5" t="s">
        <v>80</v>
      </c>
      <c r="D301" s="5" t="s">
        <v>14</v>
      </c>
      <c r="E301" s="5" t="s">
        <v>81</v>
      </c>
      <c r="F301" s="4">
        <v>120000</v>
      </c>
      <c r="G301" s="5" t="s">
        <v>16</v>
      </c>
      <c r="H301" s="4">
        <v>141846</v>
      </c>
      <c r="I301" s="2">
        <f>H301*83.12</f>
        <v>11790239.520000001</v>
      </c>
      <c r="J301" s="5" t="s">
        <v>17</v>
      </c>
      <c r="K301" s="8">
        <v>0</v>
      </c>
      <c r="L301" s="5" t="s">
        <v>17</v>
      </c>
      <c r="M301" s="5" t="s">
        <v>18</v>
      </c>
      <c r="N301" s="5" t="str">
        <f>IF(K301=0,"Onsite",IF(K301=50,"Hybrid","Remote"))</f>
        <v>Onsite</v>
      </c>
      <c r="O301" s="5">
        <f>IF(C301="Entrylevel",1,IF(C301="Intermediate",2,IF(C301="Senior",3,4)))</f>
        <v>4</v>
      </c>
    </row>
    <row r="302" spans="1:15" ht="15.75" customHeight="1" x14ac:dyDescent="0.3">
      <c r="A302" s="4"/>
      <c r="B302" s="4"/>
      <c r="C302" s="5"/>
      <c r="D302" s="5"/>
      <c r="E302" s="5"/>
      <c r="F302" s="4"/>
      <c r="G302" s="5"/>
      <c r="H302" s="4"/>
      <c r="I302" s="2">
        <f>H302*83.12</f>
        <v>0</v>
      </c>
      <c r="J302" s="5"/>
      <c r="K302" s="8"/>
      <c r="L302" s="5"/>
      <c r="M302" s="5"/>
      <c r="N302" s="5"/>
      <c r="O302" s="5"/>
    </row>
    <row r="303" spans="1:15" ht="15.75" customHeight="1" x14ac:dyDescent="0.3">
      <c r="A303" s="4"/>
      <c r="B303" s="4"/>
      <c r="C303" s="5"/>
      <c r="D303" s="5"/>
      <c r="E303" s="5"/>
      <c r="F303" s="4"/>
      <c r="G303" s="5"/>
      <c r="H303" s="4"/>
      <c r="I303" s="2">
        <f>H303*83.12</f>
        <v>0</v>
      </c>
      <c r="J303" s="5"/>
      <c r="K303" s="8"/>
      <c r="L303" s="5"/>
      <c r="M303" s="5"/>
      <c r="N303" s="5"/>
      <c r="O303" s="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Natanshi Goyal</dc:creator>
  <cp:lastModifiedBy>Natanshi Goyal</cp:lastModifiedBy>
  <dcterms:created xsi:type="dcterms:W3CDTF">2025-12-26T09:56:41Z</dcterms:created>
  <dcterms:modified xsi:type="dcterms:W3CDTF">2025-12-26T11:45:35Z</dcterms:modified>
</cp:coreProperties>
</file>